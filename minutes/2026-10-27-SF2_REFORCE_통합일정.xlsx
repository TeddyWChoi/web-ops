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통합 일정" sheetId="1" state="visible" r:id="rId3"/>
    <sheet name="이번 주 할 일" sheetId="2" state="visible" r:id="rId4"/>
    <sheet name="리스크·결정" sheetId="3" state="visible" r:id="rId5"/>
    <sheet name="기준·안내" sheetId="4" state="visible" r:id="rId6"/>
  </sheets>
  <definedNames>
    <definedName function="false" hidden="false" localSheetId="0" name="_xlnm.Print_Titles" vbProcedure="false">'통합 일정'!$9:$9</definedName>
    <definedName function="false" hidden="true" localSheetId="0" name="_xlnm._FilterDatabase" vbProcedure="false">'통합 일정'!$A$9:$R$71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<sst xmlns="http://schemas.openxmlformats.org/spreadsheetml/2006/main" count="931" uniqueCount="524">
  <si>
    <r>
      <rPr>
        <b val="true"/>
        <sz val="16"/>
        <color rgb="FF243B53"/>
        <rFont val="Arial"/>
        <family val="0"/>
        <charset val="1"/>
      </rPr>
      <t xml:space="preserve">SF2 Operation - RE:FORCE · </t>
    </r>
    <r>
      <rPr>
        <b val="true"/>
        <sz val="16"/>
        <color rgb="FF243B53"/>
        <rFont val="Noto Sans CJK SC"/>
        <family val="2"/>
      </rPr>
      <t xml:space="preserve">한국 런칭 통합 일정</t>
    </r>
  </si>
  <si>
    <t xml:space="preserve">주간표: 파랑=확정 일정 / 노랑=제안 일정 / 보라=외부 기관 일정 / 빨강=핵심 마일스톤 · 날짜·구분을 바꾸면 막대가 함께 바뀝니다.</t>
  </si>
  <si>
    <t xml:space="preserve">기준일</t>
  </si>
  <si>
    <t xml:space="preserve">런칭까지</t>
  </si>
  <si>
    <t xml:space="preserve">헤더 색상</t>
  </si>
  <si>
    <t xml:space="preserve">막대 색상</t>
  </si>
  <si>
    <t xml:space="preserve">런칭 목표일</t>
  </si>
  <si>
    <t xml:space="preserve">상태별 항목</t>
  </si>
  <si>
    <t xml:space="preserve">  </t>
  </si>
  <si>
    <t xml:space="preserve">이번 주</t>
  </si>
  <si>
    <t xml:space="preserve">확정</t>
  </si>
  <si>
    <t xml:space="preserve">마일스톤</t>
  </si>
  <si>
    <t xml:space="preserve">최종 런칭 결정</t>
  </si>
  <si>
    <t xml:space="preserve">담당 미정</t>
  </si>
  <si>
    <t xml:space="preserve">런칭 목표 주</t>
  </si>
  <si>
    <t xml:space="preserve">제안</t>
  </si>
  <si>
    <t xml:space="preserve">지연 시 마지노선</t>
  </si>
  <si>
    <t xml:space="preserve">날짜 미정</t>
  </si>
  <si>
    <t xml:space="preserve">마지노선 주</t>
  </si>
  <si>
    <t xml:space="preserve">외부 기관</t>
  </si>
  <si>
    <t xml:space="preserve">영역</t>
  </si>
  <si>
    <t xml:space="preserve">업무·마일스톤</t>
  </si>
  <si>
    <t xml:space="preserve">담당</t>
  </si>
  <si>
    <t xml:space="preserve">시작일</t>
  </si>
  <si>
    <t xml:space="preserve">완료일</t>
  </si>
  <si>
    <t xml:space="preserve">구분</t>
  </si>
  <si>
    <t xml:space="preserve">상태</t>
  </si>
  <si>
    <t xml:space="preserve">연결 ID</t>
  </si>
  <si>
    <t xml:space="preserve">확인·비고</t>
  </si>
  <si>
    <t xml:space="preserve">의사결정·게이트</t>
  </si>
  <si>
    <t xml:space="preserve">PM</t>
  </si>
  <si>
    <t xml:space="preserve">1빌드·한국/글로벌 동시 적용, 한쪽 문제 시 동반 연기</t>
  </si>
  <si>
    <t xml:space="preserve">김충곤·고민제</t>
  </si>
  <si>
    <t xml:space="preserve">완료</t>
  </si>
  <si>
    <t xml:space="preserve">X-01</t>
  </si>
  <si>
    <t xml:space="preserve">결정 완료. 실행·배포 검증 완료를 뜻하지 않음</t>
  </si>
  <si>
    <t xml:space="preserve">한국 단독 서비스(별도 스택) 전환</t>
  </si>
  <si>
    <t xml:space="preserve">법무·개발</t>
  </si>
  <si>
    <t xml:space="preserve">—</t>
  </si>
  <si>
    <t xml:space="preserve">법무 리스크로 데디 추가안 → 단독 서비스. 글로벌 구조 복제, 한국 서버 전부 한국 소재, 계정 기준 분리·크로스 접속 불가</t>
  </si>
  <si>
    <t xml:space="preserve">12월 런칭 스펙 최종 확정</t>
  </si>
  <si>
    <t xml:space="preserve">고민제·김용진</t>
  </si>
  <si>
    <t xml:space="preserve">확인 필요</t>
  </si>
  <si>
    <t xml:space="preserve">X-02 · C-08</t>
  </si>
  <si>
    <t xml:space="preserve">현재 약 80% 정리. 11월 업데이트 이후 확정 예정 — 확정 D-day 개발 담당 확인 필요</t>
  </si>
  <si>
    <t xml:space="preserve">최종 런칭 결정 (12/8 Go/No-Go)</t>
  </si>
  <si>
    <t xml:space="preserve">김충곤·고민제·승인권자</t>
  </si>
  <si>
    <t xml:space="preserve">예정</t>
  </si>
  <si>
    <t xml:space="preserve">X-23</t>
  </si>
  <si>
    <t xml:space="preserve">대외 런칭일은 이 결정 전까지 고정 공지하지 않음</t>
  </si>
  <si>
    <t xml:space="preserve">최종 배포 승인 (D-1)</t>
  </si>
  <si>
    <t xml:space="preserve">승인권자·QA</t>
  </si>
  <si>
    <t xml:space="preserve">X-25</t>
  </si>
  <si>
    <t xml:space="preserve">잔여 결함·결제·복구 확인 후 승인. 승인권자·차단 기준 합의 필요</t>
  </si>
  <si>
    <t xml:space="preserve">런칭</t>
  </si>
  <si>
    <t xml:space="preserve">한국 런칭 + 글로벌 Operation - RE:FORCE 적용</t>
  </si>
  <si>
    <t xml:space="preserve">전 부서</t>
  </si>
  <si>
    <t xml:space="preserve">X-26</t>
  </si>
  <si>
    <t xml:space="preserve">목표일</t>
  </si>
  <si>
    <t xml:space="preserve">지연 시 Go/No-Go (12/22 판단)</t>
  </si>
  <si>
    <t xml:space="preserve">12/3에 연기 결정 시에만 적용</t>
  </si>
  <si>
    <t xml:space="preserve">12/22 연기 시 대외 안내 시나리오 준비</t>
  </si>
  <si>
    <t xml:space="preserve">사업·PR</t>
  </si>
  <si>
    <t xml:space="preserve">A-01 · Q7</t>
  </si>
  <si>
    <t xml:space="preserve">[10/27 추가] 리스크 시트 Q7을 일정에 연결. 12/3 결정 직후 4차 기사·공지에 바로 쓸 수 있게 문안 준비</t>
  </si>
  <si>
    <t xml:space="preserve">지연 시 마지노선 런칭</t>
  </si>
  <si>
    <t xml:space="preserve">대기</t>
  </si>
  <si>
    <t xml:space="preserve">부득이한 지연 시 최종 기한</t>
  </si>
  <si>
    <t xml:space="preserve">심의·정책</t>
  </si>
  <si>
    <t xml:space="preserve">심의</t>
  </si>
  <si>
    <t xml:space="preserve">게임물 등급분류 신청</t>
  </si>
  <si>
    <t xml:space="preserve">김용진·김충곤</t>
  </si>
  <si>
    <t xml:space="preserve">SF2DO-151</t>
  </si>
  <si>
    <t xml:space="preserve">접수 증빙 확보</t>
  </si>
  <si>
    <t xml:space="preserve">등급 심사·결과 수령</t>
  </si>
  <si>
    <t xml:space="preserve">게임물관리위원회</t>
  </si>
  <si>
    <t xml:space="preserve">외부</t>
  </si>
  <si>
    <t xml:space="preserve">X-12</t>
  </si>
  <si>
    <t xml:space="preserve">위원회 안내: 최장 3주</t>
  </si>
  <si>
    <t xml:space="preserve">등급 표시 게임·웹 반영</t>
  </si>
  <si>
    <t xml:space="preserve">개발·웹</t>
  </si>
  <si>
    <t xml:space="preserve">결과 수령 후 반영·검수</t>
  </si>
  <si>
    <t xml:space="preserve">등급 내용수정 신고 필요 여부 확인 (심의 빌드 vs 12/8 빌드)</t>
  </si>
  <si>
    <t xml:space="preserve">김충곤·법무</t>
  </si>
  <si>
    <t xml:space="preserve">A-02</t>
  </si>
  <si>
    <t xml:space="preserve">[10/27 추가] 10/27 신청 빌드 이후 11월 업데이트·12월 조합 스펙이 추가됨 — 신고 대상·절차·소요 기간 확인</t>
  </si>
  <si>
    <t xml:space="preserve">정책</t>
  </si>
  <si>
    <t xml:space="preserve">등급 결과 전 사전예약·홍보 가능 범위 확인</t>
  </si>
  <si>
    <t xml:space="preserve">[10/27 수정] 사전예약·기사·지하철 포스터가 등급 결과보다 먼저 나감 — 광고물 등급 표시 방법 포함 확인</t>
  </si>
  <si>
    <t xml:space="preserve">약관·개인정보·마케팅 동의 반영</t>
  </si>
  <si>
    <t xml:space="preserve">김충곤·법무·웹</t>
  </si>
  <si>
    <t xml:space="preserve">진행 중</t>
  </si>
  <si>
    <t xml:space="preserve">X-08</t>
  </si>
  <si>
    <t xml:space="preserve">사전예약 오픈 전 완료</t>
  </si>
  <si>
    <t xml:space="preserve">환불 정책·청약철회 기준 확정 및 고지</t>
  </si>
  <si>
    <t xml:space="preserve">김충곤·법무·사업</t>
  </si>
  <si>
    <t xml:space="preserve">A-03</t>
  </si>
  <si>
    <t xml:space="preserve">[10/27 추가] 사업검토 5차 확인 항목. 원화 상품 환불 기준·고지 방식 — 약관 반영과 함께 사전예약 오픈 전 완료</t>
  </si>
  <si>
    <t xml:space="preserve">확률정보 표시 반영·검수</t>
  </si>
  <si>
    <t xml:space="preserve">X-13</t>
  </si>
  <si>
    <t xml:space="preserve">[10/27 수정] 법무 결론 필요. 담당 미정 — 가챠 확률표(SF2_Gacha_Probability_20260806) 기준으로 게임 내·홈페이지·광고 표기 담당 지정 필요</t>
  </si>
  <si>
    <t xml:space="preserve">한국판 운영정책·제재정책 수립</t>
  </si>
  <si>
    <t xml:space="preserve">사업·운영</t>
  </si>
  <si>
    <t xml:space="preserve">A-04</t>
  </si>
  <si>
    <t xml:space="preserve">[10/27 추가] 사업검토 5차 운영 체계 항목(GM 운영·제재 정책 국내 적용판)</t>
  </si>
  <si>
    <t xml:space="preserve">웹·PG·사전예약</t>
  </si>
  <si>
    <t xml:space="preserve">웹</t>
  </si>
  <si>
    <t xml:space="preserve">한국 사전예약 페이지 제작</t>
  </si>
  <si>
    <t xml:space="preserve">웹팀</t>
  </si>
  <si>
    <t xml:space="preserve">SF2DO-75</t>
  </si>
  <si>
    <t xml:space="preserve">[10/27 수정] 90% 완료. 완료일은 Jira SF2DO-75 기한(10/30) 기준 — 웹팀 회신 필요</t>
  </si>
  <si>
    <t xml:space="preserve">사전예약 SMS 발송 개발·테스트</t>
  </si>
  <si>
    <t xml:space="preserve">X-07 · D-15</t>
  </si>
  <si>
    <t xml:space="preserve">[10/27 수정] 개발 완료. 발신번호 사전등록 증명원 확보(A-05)가 선행 — 회의록상 증빙 확보 후 API 연동. 실제 발신번호·080 수신거부 포함 테스트</t>
  </si>
  <si>
    <t xml:space="preserve">SMS 발신번호 사전등록 증명원 확보</t>
  </si>
  <si>
    <t xml:space="preserve">웹팀(IT DEV)·사업</t>
  </si>
  <si>
    <t xml:space="preserve">A-05</t>
  </si>
  <si>
    <t xml:space="preserve">[10/27 추가] 회의록 IT DEV 확인 사항. SMS API 연동의 선행 조건</t>
  </si>
  <si>
    <t xml:space="preserve">한국 웹사이트 제작 완료</t>
  </si>
  <si>
    <t xml:space="preserve">김영환·웹</t>
  </si>
  <si>
    <t xml:space="preserve">SF2DO-65 · X-03</t>
  </si>
  <si>
    <t xml:space="preserve">SF2 Admin 개발 (공지·미디어·약관 관리)</t>
  </si>
  <si>
    <t xml:space="preserve">웹팀(IT DEV)</t>
  </si>
  <si>
    <t xml:space="preserve">A-06</t>
  </si>
  <si>
    <t xml:space="preserve">[10/27 추가] 회의록 IN PROGRESS. 사전예약 오픈(11/17) 공지 게시에 필요</t>
  </si>
  <si>
    <t xml:space="preserve">홈페이지 .NET 개발서버 → Stage 반영</t>
  </si>
  <si>
    <t xml:space="preserve">A-07</t>
  </si>
  <si>
    <t xml:space="preserve">[10/27 추가] 회의록 IN PROGRESS</t>
  </si>
  <si>
    <t xml:space="preserve">웹사이트·사전예약 QA (디자인 QA 포함)</t>
  </si>
  <si>
    <t xml:space="preserve">웹팀·디자인·사업</t>
  </si>
  <si>
    <t xml:space="preserve">A-08</t>
  </si>
  <si>
    <t xml:space="preserve">[10/27 추가] 회의록: QA 범위·일정 협의 필요. 사전예약 오픈 전 최종 확정</t>
  </si>
  <si>
    <t xml:space="preserve">PG</t>
  </si>
  <si>
    <t xml:space="preserve">빌링·인증 결제프로세스 정의서 전달</t>
  </si>
  <si>
    <t xml:space="preserve">사업팀</t>
  </si>
  <si>
    <t xml:space="preserve">X-04 · C-10</t>
  </si>
  <si>
    <t xml:space="preserve">심사용 문서 전달 완료</t>
  </si>
  <si>
    <t xml:space="preserve">빌링·페이레터 신청 및 Callback API 반영</t>
  </si>
  <si>
    <t xml:space="preserve">A-09</t>
  </si>
  <si>
    <t xml:space="preserve">[10/27 추가] 회의록 IN PROGRESS (빌링·페이레터 신청 대기)</t>
  </si>
  <si>
    <t xml:space="preserve">PG 계정 2개 구성</t>
  </si>
  <si>
    <t xml:space="preserve">웹팀(IT DEV)·사업팀</t>
  </si>
  <si>
    <t xml:space="preserve">A-10</t>
  </si>
  <si>
    <t xml:space="preserve">[10/27 추가] 회의록: 기존 사례 참고해 2개로 구성. 목표 "PG 심사 전" — 심사 진행 중이라 완료일 확인 필요</t>
  </si>
  <si>
    <t xml:space="preserve">Callback 재기동 시 결제 일시 차단·"점검 중" 표시 기능</t>
  </si>
  <si>
    <t xml:space="preserve">A-11</t>
  </si>
  <si>
    <t xml:space="preserve">[10/27 추가] 회의록: Callback Server 중단 구간 결제 누락 방지</t>
  </si>
  <si>
    <t xml:space="preserve">PG 심사</t>
  </si>
  <si>
    <t xml:space="preserve">PG사</t>
  </si>
  <si>
    <t xml:space="preserve">X-04</t>
  </si>
  <si>
    <t xml:space="preserve">[10/27 수정] 최대 3주, 11/16 이전 마무리 목표. 회의록(10/23)은 "11/13 홈페이지 준비 후 PG 심사" 순서 — 심사에 완성 사이트가 필요한지 확인 필요</t>
  </si>
  <si>
    <t xml:space="preserve">원화 상품(SFC 7단계) 가격표 확정</t>
  </si>
  <si>
    <t xml:space="preserve">A-12</t>
  </si>
  <si>
    <t xml:space="preserve">[10/27 추가] 설계안: 1,000~100,000원 7단계, 70 SFC/1,000원, 5만원 +5%·10만원 +10% 제안. 확정 후 A-13·PG 검수에 연결</t>
  </si>
  <si>
    <t xml:space="preserve">원화 상품 DB·결제 페이지 등록</t>
  </si>
  <si>
    <t xml:space="preserve">김용진·웹팀</t>
  </si>
  <si>
    <t xml:space="preserve">A-13</t>
  </si>
  <si>
    <t xml:space="preserve">[10/27 추가] PG 실결제 검수(11/23~) 전 완료 필요</t>
  </si>
  <si>
    <t xml:space="preserve">카드사 승인·출시 결제수단 확정</t>
  </si>
  <si>
    <t xml:space="preserve">사업팀·김영환</t>
  </si>
  <si>
    <t xml:space="preserve">X-05</t>
  </si>
  <si>
    <t xml:space="preserve">결제 실검수 시작 전 확정 필요</t>
  </si>
  <si>
    <t xml:space="preserve">PG 실결제·취소·환불·정산 검수</t>
  </si>
  <si>
    <t xml:space="preserve">QA·웹</t>
  </si>
  <si>
    <t xml:space="preserve">N-19</t>
  </si>
  <si>
    <t xml:space="preserve">통합 QA와 함께 진행</t>
  </si>
  <si>
    <t xml:space="preserve">웹·플랫폼</t>
  </si>
  <si>
    <t xml:space="preserve">본인인증·연령 차단 (게임 우선 적용)</t>
  </si>
  <si>
    <t xml:space="preserve">웹·김용진</t>
  </si>
  <si>
    <t xml:space="preserve">X-09 · N-21</t>
  </si>
  <si>
    <t xml:space="preserve">웹 차단 통일은 출시 후 여부 확인(C-11)</t>
  </si>
  <si>
    <t xml:space="preserve">본인인증 업체 계약</t>
  </si>
  <si>
    <t xml:space="preserve">A-15</t>
  </si>
  <si>
    <t xml:space="preserve">[10/27 추가] 사업검토 5차 3.3: 모듈 계약비·건당 수수료 미확정. 연동(11/20) 전 계약 필요</t>
  </si>
  <si>
    <t xml:space="preserve">한국 사전예약 오픈</t>
  </si>
  <si>
    <t xml:space="preserve">고민제·웹·사업</t>
  </si>
  <si>
    <t xml:space="preserve">X-06 · SF2DO-75</t>
  </si>
  <si>
    <t xml:space="preserve">지스타(11/19~22) 직전 오픈</t>
  </si>
  <si>
    <t xml:space="preserve">사전예약 보상 사양 확정</t>
  </si>
  <si>
    <t xml:space="preserve">사업·기획</t>
  </si>
  <si>
    <t xml:space="preserve">D-12 · N-10</t>
  </si>
  <si>
    <t xml:space="preserve">SMS 문안과 일치 필요</t>
  </si>
  <si>
    <t xml:space="preserve">사전예약 보상 지급 (가입 후 3일 내)</t>
  </si>
  <si>
    <t xml:space="preserve">개발·운영</t>
  </si>
  <si>
    <t xml:space="preserve">D-14</t>
  </si>
  <si>
    <t xml:space="preserve">지급 구현·검수 담당 확인</t>
  </si>
  <si>
    <t xml:space="preserve">사전예약자 오픈 알림 SMS 문안 확정·발송</t>
  </si>
  <si>
    <t xml:space="preserve">웹팀·사업</t>
  </si>
  <si>
    <t xml:space="preserve">A-16</t>
  </si>
  <si>
    <t xml:space="preserve">[10/27 추가] 12/3 결정 후 문안 확정, 12/8 오픈 시각에 맞춰 발송. 광고성 문자 표기·수신거부 기준 적용</t>
  </si>
  <si>
    <t xml:space="preserve">개발·서버·QA</t>
  </si>
  <si>
    <t xml:space="preserve">개발</t>
  </si>
  <si>
    <t xml:space="preserve">개발 업무 재확인 미팅</t>
  </si>
  <si>
    <t xml:space="preserve">김충곤·김용진</t>
  </si>
  <si>
    <t xml:space="preserve">KOR 스택 / 필수 vs 출시 후 / 코드 프리즈 / 후보 빌드 / 로그인 전환일</t>
  </si>
  <si>
    <t xml:space="preserve">인프라</t>
  </si>
  <si>
    <t xml:space="preserve">한국 라이브 서버 정보 인계 (IP 할당·권한·환경)</t>
  </si>
  <si>
    <t xml:space="preserve">SRE·에릭 실장</t>
  </si>
  <si>
    <t xml:space="preserve">X-14</t>
  </si>
  <si>
    <t xml:space="preserve">[10/27 수정] 회의록: IP 할당 후 10월 말까지 서버 정보 공유. CDN은 별도 행(A-14)으로 분리</t>
  </si>
  <si>
    <t xml:space="preserve">한국 라이브 CDN Setup</t>
  </si>
  <si>
    <t xml:space="preserve">SRE</t>
  </si>
  <si>
    <t xml:space="preserve">A-14</t>
  </si>
  <si>
    <t xml:space="preserve">[10/27 추가] 회의록 SRE FUTURE. 런처·패치 배포 경로</t>
  </si>
  <si>
    <t xml:space="preserve">유럽 DB 서버 3개 통합 여부 검토</t>
  </si>
  <si>
    <t xml:space="preserve">SRE·김용진</t>
  </si>
  <si>
    <t xml:space="preserve">A-17</t>
  </si>
  <si>
    <t xml:space="preserve">[10/27 추가] 회의록 SRE 확인 사항. 결과에 따라 KOR 스택 구성 범위 변경</t>
  </si>
  <si>
    <t xml:space="preserve">11월 업데이트 (코드 마감 → RC → QA → 패치)</t>
  </si>
  <si>
    <t xml:space="preserve">SF2DO-107</t>
  </si>
  <si>
    <t xml:space="preserve">11/3 코드 마감 · 11/4 RC · 11/5 QA · 11/10 패치</t>
  </si>
  <si>
    <t xml:space="preserve">12월 업데이트(조합) 개발 마감</t>
  </si>
  <si>
    <t xml:space="preserve">김용진·bumjinchoi</t>
  </si>
  <si>
    <t xml:space="preserve">A-23 · SF2DO-108</t>
  </si>
  <si>
    <t xml:space="preserve">[10/27 추가] Jira Epic 기한 12/3 — 코드 프리즈 제안일(11/20)·후보 빌드(11/23)와 충돌. 조합 데이터·3일제 SKU·재료 지급 로직 등</t>
  </si>
  <si>
    <t xml:space="preserve">기획</t>
  </si>
  <si>
    <t xml:space="preserve">KOR 오픈 패키지·12월 판매 상품 확정 → DB 등록</t>
  </si>
  <si>
    <t xml:space="preserve">사업·기획·김용진</t>
  </si>
  <si>
    <t xml:space="preserve">A-26</t>
  </si>
  <si>
    <t xml:space="preserve">[10/27 추가] 운영전략: 계정당 1회 오픈 패키지. 마스터플랜: 1~2월 BM 확정 후 12/1 QA</t>
  </si>
  <si>
    <t xml:space="preserve">KOR 게임서버·DB 스택 구축 (한국 소재)</t>
  </si>
  <si>
    <t xml:space="preserve">김용진·SRE</t>
  </si>
  <si>
    <t xml:space="preserve">SF2DO-132</t>
  </si>
  <si>
    <t xml:space="preserve">Jira 기한. 착수 기록 없음 — 최우선 확인</t>
  </si>
  <si>
    <t xml:space="preserve">KOR 인증·빌링 연동</t>
  </si>
  <si>
    <t xml:space="preserve">김용진</t>
  </si>
  <si>
    <t xml:space="preserve">SF2DO-215</t>
  </si>
  <si>
    <t xml:space="preserve">Jira 기한</t>
  </si>
  <si>
    <t xml:space="preserve">한국 서비스용 런처 (서버·언어 분기·코드서명)</t>
  </si>
  <si>
    <t xml:space="preserve">A-18 · SF2DO-56</t>
  </si>
  <si>
    <t xml:space="preserve">[10/27 추가] 회의록 개발팀 FUTURE. 게임 시작 시 런처 실행 설정 확인 포함(디자인 확인 사항)</t>
  </si>
  <si>
    <t xml:space="preserve">한국어 번역·게임 내 표시 검수</t>
  </si>
  <si>
    <t xml:space="preserve">사업·개발팀</t>
  </si>
  <si>
    <t xml:space="preserve">A-19</t>
  </si>
  <si>
    <t xml:space="preserve">[10/27 추가] 리소스 작업시트: 신규 번역 약 460줄 · 기존 문구 확인 약 410줄 · 아이템명 약 100건. 코드 프리즈 전 반영</t>
  </si>
  <si>
    <t xml:space="preserve">금칙어 필터 한국어 적용</t>
  </si>
  <si>
    <t xml:space="preserve">A-20</t>
  </si>
  <si>
    <t xml:space="preserve">[10/27 추가] 사업검토 5차 로컬라이즈 항목</t>
  </si>
  <si>
    <t xml:space="preserve">Info Server 재기동 이슈 원인·보완</t>
  </si>
  <si>
    <t xml:space="preserve">개발팀·SRE</t>
  </si>
  <si>
    <t xml:space="preserve">A-21</t>
  </si>
  <si>
    <t xml:space="preserve">[10/27 추가] 회의록: 차기 회의(10/29)에서 현황 공유</t>
  </si>
  <si>
    <t xml:space="preserve">BattlEye KOR 적용·라이브 서버 초기화 검증</t>
  </si>
  <si>
    <t xml:space="preserve">A-22</t>
  </si>
  <si>
    <t xml:space="preserve">[10/27 추가] 회의록: BattlEye 응답·초기화·검증 계획 확인 필요</t>
  </si>
  <si>
    <t xml:space="preserve">KOR Crash 수집기 구축 (장비·접수 경로)</t>
  </si>
  <si>
    <t xml:space="preserve">A-24</t>
  </si>
  <si>
    <t xml:space="preserve">[10/27 추가] 회의록: 필요 장비와 접수 경로를 SRE와 협의</t>
  </si>
  <si>
    <t xml:space="preserve">점검·Maintenance Tool 개발 (Teams Bot 포함)</t>
  </si>
  <si>
    <t xml:space="preserve">A-25</t>
  </si>
  <si>
    <t xml:space="preserve">[10/27 추가] 회의록 SRE FUTURE. 오픈 당일 점검·공지에 사용</t>
  </si>
  <si>
    <t xml:space="preserve">정상 로그인 전환·임시 기능 종료</t>
  </si>
  <si>
    <t xml:space="preserve">개발팀·웹(IT DEV)·김용진</t>
  </si>
  <si>
    <t xml:space="preserve">X-15</t>
  </si>
  <si>
    <t xml:space="preserve">[10/27 수정] 회의록: 기존 Login API 임시 활용 → 홈페이지 로그인·Web Token·Refresh Token 정상 구조로 전환. Game Server 내부 Java API 호출 구조 함께 검증</t>
  </si>
  <si>
    <t xml:space="preserve">코드 프리즈</t>
  </si>
  <si>
    <t xml:space="preserve">N-01</t>
  </si>
  <si>
    <t xml:space="preserve">[10/27 수정] 개발 담당 확인 필요. 12월 업데이트(조합) Jira Epic 마감 12/3(A-23)과 충돌 — 둘 중 하나 조정 필요</t>
  </si>
  <si>
    <t xml:space="preserve">QA</t>
  </si>
  <si>
    <t xml:space="preserve">후보 빌드 확정·QA 인계</t>
  </si>
  <si>
    <t xml:space="preserve">김용진·QA</t>
  </si>
  <si>
    <t xml:space="preserve">N-02</t>
  </si>
  <si>
    <t xml:space="preserve">한국 통합 QA (가입→로그인→게임→구매→환불)</t>
  </si>
  <si>
    <t xml:space="preserve">X-16</t>
  </si>
  <si>
    <t xml:space="preserve">글로벌 회귀 QA (1빌드 영향 검수)</t>
  </si>
  <si>
    <t xml:space="preserve">QA·기획</t>
  </si>
  <si>
    <t xml:space="preserve">X-17</t>
  </si>
  <si>
    <t xml:space="preserve">한국 수정 시 글로벌 회귀 동반</t>
  </si>
  <si>
    <t xml:space="preserve">한국 오픈 모드·맵 범위 (매칭 풀 대응)</t>
  </si>
  <si>
    <t xml:space="preserve">기획·사업</t>
  </si>
  <si>
    <t xml:space="preserve">신규</t>
  </si>
  <si>
    <t xml:space="preserve">독립 서버 + 목표 DAU 800 기준</t>
  </si>
  <si>
    <t xml:space="preserve">배포</t>
  </si>
  <si>
    <t xml:space="preserve">배포·복구·운영 리허설</t>
  </si>
  <si>
    <t xml:space="preserve">개발·SRE</t>
  </si>
  <si>
    <t xml:space="preserve">X-24</t>
  </si>
  <si>
    <t xml:space="preserve">마케팅·PR</t>
  </si>
  <si>
    <t xml:space="preserve">PR</t>
  </si>
  <si>
    <t xml:space="preserve">PR 이력 확인 (대행사 계약·기자 연락처)</t>
  </si>
  <si>
    <t xml:space="preserve">김충곤</t>
  </si>
  <si>
    <t xml:space="preserve">대표·경영지원·타 타이틀 담당</t>
  </si>
  <si>
    <t xml:space="preserve">PR 대행사 2~3곳 견적 요청</t>
  </si>
  <si>
    <t xml:space="preserve">김충곤·사업팀</t>
  </si>
  <si>
    <t xml:space="preserve">U-06</t>
  </si>
  <si>
    <t xml:space="preserve">런칭 단발 패키지 기준</t>
  </si>
  <si>
    <t xml:space="preserve">PR 방식·예산 결정 (대표 승인)</t>
  </si>
  <si>
    <t xml:space="preserve">김충곤·대표</t>
  </si>
  <si>
    <t xml:space="preserve">X-20</t>
  </si>
  <si>
    <t xml:space="preserve">미결정 시 사내 직접 + 배포 서비스로 진행</t>
  </si>
  <si>
    <t xml:space="preserve">핵심 메시지·보도자료 1·2차 원고</t>
  </si>
  <si>
    <t xml:space="preserve">U-05</t>
  </si>
  <si>
    <t xml:space="preserve">디자인</t>
  </si>
  <si>
    <t xml:space="preserve">공식 로고·부제 시안 승인</t>
  </si>
  <si>
    <t xml:space="preserve">디자인·테디·김영환</t>
  </si>
  <si>
    <t xml:space="preserve">C-06</t>
  </si>
  <si>
    <t xml:space="preserve">키비주얼·스크린샷·영상 소재 확정</t>
  </si>
  <si>
    <t xml:space="preserve">디자인·사업</t>
  </si>
  <si>
    <t xml:space="preserve">N-06</t>
  </si>
  <si>
    <t xml:space="preserve">홍보 영상·숏폼 2~3편 제작</t>
  </si>
  <si>
    <t xml:space="preserve">A-27</t>
  </si>
  <si>
    <t xml:space="preserve">[10/27 추가] 마스터플랜 10/30 착수. 회의록: 영상 착수 시점 협의 필요. 실플레이 / 시네마틱+과거 영상</t>
  </si>
  <si>
    <t xml:space="preserve">배포용 포스터·배너·런처 이미지 제작</t>
  </si>
  <si>
    <t xml:space="preserve">A-28</t>
  </si>
  <si>
    <t xml:space="preserve">[10/27 추가] 회의록 디자인 FUTURE. 인벤 PICK·웹 배너 소재와 공용</t>
  </si>
  <si>
    <t xml:space="preserve">광고</t>
  </si>
  <si>
    <t xml:space="preserve">인벤 사전예약 PICK 상품·계약 확정</t>
  </si>
  <si>
    <t xml:space="preserve">A-29</t>
  </si>
  <si>
    <t xml:space="preserve">[10/27 추가] 인벤 상품소개서 기준. 집행 규모에 따라 골드(월 500만 원+)/플래티넘(월 2,000만 원+) 서비스 조건 다름</t>
  </si>
  <si>
    <t xml:space="preserve">인벤 PICK 소재·보상 정보 제출</t>
  </si>
  <si>
    <t xml:space="preserve">사업·디자인</t>
  </si>
  <si>
    <t xml:space="preserve">A-30</t>
  </si>
  <si>
    <t xml:space="preserve">[10/27 추가] 사전예약 시작일부터 약 14일 게재, 게재 후 소재 교체 불가. 보상 영역은 참여자 전원 획득 보상만 — 사전예약 보상 사양과 일치</t>
  </si>
  <si>
    <t xml:space="preserve">지스타 벡스코행 지하철 포스터 검토·계약·인쇄 (300~400장)</t>
  </si>
  <si>
    <t xml:space="preserve">A-31</t>
  </si>
  <si>
    <t xml:space="preserve">[10/27 추가] 11/19 지스타 개막 전 부착. 등급 결과 전 광고물 표기(Q6) 확인 필요</t>
  </si>
  <si>
    <t xml:space="preserve">보도자료 내부 승인·매체 사전 전달</t>
  </si>
  <si>
    <t xml:space="preserve">1차 기사 — 서비스 재개 발표·사전예약 예고</t>
  </si>
  <si>
    <t xml:space="preserve">사업팀/대행사</t>
  </si>
  <si>
    <t xml:space="preserve">"12월 오픈 예정"으로 표기</t>
  </si>
  <si>
    <t xml:space="preserve">2차 기사 — 사전예약 오픈</t>
  </si>
  <si>
    <t xml:space="preserve">오전 송출</t>
  </si>
  <si>
    <t xml:space="preserve">인벤 웹 배너·게임메카 광고 집행</t>
  </si>
  <si>
    <t xml:space="preserve">A-32</t>
  </si>
  <si>
    <t xml:space="preserve">[10/27 추가] 사전예약 시작 ~ 런칭 후 2~3일. 게임메카는 검토 단계</t>
  </si>
  <si>
    <t xml:space="preserve">KOR 소셜 광고 (유튜브·페이스북·인스타)</t>
  </si>
  <si>
    <t xml:space="preserve">A-33</t>
  </si>
  <si>
    <t xml:space="preserve">[10/27 추가] 소셜 광고 비중 KOR:GLB = 1:3</t>
  </si>
  <si>
    <t xml:space="preserve">커뮤니티</t>
  </si>
  <si>
    <t xml:space="preserve">디스코드 KOR 채널·커뮤니티 운영 개시</t>
  </si>
  <si>
    <t xml:space="preserve">A-34</t>
  </si>
  <si>
    <t xml:space="preserve">[10/27 추가] 마스터플랜: 사전예약과 동시 개시</t>
  </si>
  <si>
    <t xml:space="preserve">지스타 2026 (기사 노출 약세 구간)</t>
  </si>
  <si>
    <t xml:space="preserve">U-03</t>
  </si>
  <si>
    <t xml:space="preserve">간접 홍보 확정 시에만 현장 기사</t>
  </si>
  <si>
    <t xml:space="preserve">3차 기사 — 콘텐츠·개선 사항 소개</t>
  </si>
  <si>
    <t xml:space="preserve">4차 기사 — 오픈일 확정</t>
  </si>
  <si>
    <t xml:space="preserve">12/3 결정 직후</t>
  </si>
  <si>
    <t xml:space="preserve">5차 기사 — 그랜드 오픈</t>
  </si>
  <si>
    <t xml:space="preserve">글로벌 업데이트 공지·기사</t>
  </si>
  <si>
    <t xml:space="preserve">글로벌 운영</t>
  </si>
  <si>
    <t xml:space="preserve">U-04</t>
  </si>
  <si>
    <t xml:space="preserve">[10/27 수정] 일정·매체 미정. 1빌드 동반 연기 구조라 GLB 쪽 준비(사과문·대사면·로드맵 공개, 뉴스레터 A-36, GLB 사전예약 A-37)도 함께 관리</t>
  </si>
  <si>
    <t xml:space="preserve">GLB</t>
  </si>
  <si>
    <t xml:space="preserve">GLB 사과문·대사면·로드맵 공개</t>
  </si>
  <si>
    <t xml:space="preserve">고민제·글로벌 운영</t>
  </si>
  <si>
    <t xml:space="preserve">A-35 · SF2DO-74</t>
  </si>
  <si>
    <t xml:space="preserve">[10/27 추가] 마스터플랜 11월 단계. 공개 일자 미정 — 11월 업데이트(11/10) 시점과 연결 검토</t>
  </si>
  <si>
    <t xml:space="preserve">GLB 기접속 유저 뉴스레터 발송</t>
  </si>
  <si>
    <t xml:space="preserve">A-36</t>
  </si>
  <si>
    <t xml:space="preserve">[10/27 추가] 늦어도 11/23 발송</t>
  </si>
  <si>
    <t xml:space="preserve">GLB 4개국(독일·폴란드·이탈리아·터키) 사전예약·홍보</t>
  </si>
  <si>
    <t xml:space="preserve">사업·글로벌 운영</t>
  </si>
  <si>
    <t xml:space="preserve">A-37</t>
  </si>
  <si>
    <t xml:space="preserve">[10/27 추가] KOR과 별도 사전예약 링크</t>
  </si>
  <si>
    <t xml:space="preserve">운영·런칭</t>
  </si>
  <si>
    <t xml:space="preserve">사업</t>
  </si>
  <si>
    <t xml:space="preserve">운영 비용 내역 정리</t>
  </si>
  <si>
    <t xml:space="preserve">대표 승인 완료 사항</t>
  </si>
  <si>
    <t xml:space="preserve">사전예약 2만 명 목표 주간 점검</t>
  </si>
  <si>
    <t xml:space="preserve">A-39</t>
  </si>
  <si>
    <t xml:space="preserve">[10/27 추가] 매주 정기회의에서 누적 인원·채널별 유입 보고</t>
  </si>
  <si>
    <t xml:space="preserve">운영</t>
  </si>
  <si>
    <t xml:space="preserve">한국 CS·FAQ·1:1 문의 준비</t>
  </si>
  <si>
    <t xml:space="preserve">X-19 · U-02</t>
  </si>
  <si>
    <t xml:space="preserve">GM·CA 채용·배치</t>
  </si>
  <si>
    <t xml:space="preserve">A-38</t>
  </si>
  <si>
    <t xml:space="preserve">[10/27 추가] 마스터플랜 2단계 항목. 한국 CS 담당 지정과 함께 결정</t>
  </si>
  <si>
    <t xml:space="preserve">오픈 당일 시간표·연락망 확정</t>
  </si>
  <si>
    <t xml:space="preserve">사업·개발·SRE·QA</t>
  </si>
  <si>
    <t xml:space="preserve">N-16</t>
  </si>
  <si>
    <t xml:space="preserve">오픈 시각·점검·결제 재개·공지 시각</t>
  </si>
  <si>
    <t xml:space="preserve">런칭 후 72시간 집중 모니터링</t>
  </si>
  <si>
    <t xml:space="preserve">운영·개발·SRE</t>
  </si>
  <si>
    <t xml:space="preserve">X-27</t>
  </si>
  <si>
    <t xml:space="preserve">지연 시 연말 운영 인력 대기 확보</t>
  </si>
  <si>
    <t xml:space="preserve">사업·SRE</t>
  </si>
  <si>
    <t xml:space="preserve">12/22 오픈 시 크리스마스·연말 겹침</t>
  </si>
  <si>
    <t xml:space="preserve">이번 주 할 일 (10/27 ~ 10/30)</t>
  </si>
  <si>
    <t xml:space="preserve">상태 칸만 갱신 · 완료 시 "완료" 선택</t>
  </si>
  <si>
    <t xml:space="preserve">날짜</t>
  </si>
  <si>
    <t xml:space="preserve">할 일</t>
  </si>
  <si>
    <t xml:space="preserve">완료 기준</t>
  </si>
  <si>
    <t xml:space="preserve">연결 항목</t>
  </si>
  <si>
    <t xml:space="preserve">등급분류 신청 + 접수 증빙 확보</t>
  </si>
  <si>
    <t xml:space="preserve">접수증 수령</t>
  </si>
  <si>
    <t xml:space="preserve">김용진 개발 업무 재확인 미팅</t>
  </si>
  <si>
    <t xml:space="preserve">① KOR 스택 착수·완료일 ② 12/8 필수 vs 출시 후 구분 ③ 코드 프리즈일 ④ 후보 빌드일 ⑤ 정상 로그인 전환일</t>
  </si>
  <si>
    <t xml:space="preserve">SF2DO-132 · N-01 · N-02 · X-15</t>
  </si>
  <si>
    <t xml:space="preserve">PR 이력 확인</t>
  </si>
  <si>
    <t xml:space="preserve">과거 대행사 계약·지출 여부, 기자 연락처 보유자 파악</t>
  </si>
  <si>
    <t xml:space="preserve">런칭 단발 패키지 견적 수령</t>
  </si>
  <si>
    <t xml:space="preserve">보도자료 원고·핵심 메시지 착수</t>
  </si>
  <si>
    <t xml:space="preserve">핵심 메시지 3줄 + 1차 원고 초안</t>
  </si>
  <si>
    <t xml:space="preserve">등급 결과 전 사전예약·홍보 범위 법무 확인</t>
  </si>
  <si>
    <t xml:space="preserve">가능 범위 회신</t>
  </si>
  <si>
    <t xml:space="preserve">등급 내용수정 신고 필요 여부 법무 문의</t>
  </si>
  <si>
    <t xml:space="preserve">신고 대상·절차·소요 기간 회신</t>
  </si>
  <si>
    <t xml:space="preserve">인벤 사전예약 PICK·웹 배너 견적 요청</t>
  </si>
  <si>
    <t xml:space="preserve">상품·단가·소재 제출 마감일 수령</t>
  </si>
  <si>
    <t xml:space="preserve">지하철 포스터 집행 가능 여부 확인</t>
  </si>
  <si>
    <t xml:space="preserve">노선·수량·단가·부착 리드타임 확인</t>
  </si>
  <si>
    <t xml:space="preserve">원화 상품 가격표 확정안 공유</t>
  </si>
  <si>
    <t xml:space="preserve">7단계 가격·SFC 수량·보너스 확정안</t>
  </si>
  <si>
    <t xml:space="preserve">PG 세부 일정 정리·공유</t>
  </si>
  <si>
    <t xml:space="preserve">단계별 날짜 공유</t>
  </si>
  <si>
    <t xml:space="preserve">X-04 · X-05</t>
  </si>
  <si>
    <t xml:space="preserve">정기회의</t>
  </si>
  <si>
    <t xml:space="preserve">안건: PR 방식·예산 / 기사 일정안 / 개발 확인 결과 공유 / 매체 집행 계획 / Info Server·BattlEye·Crash 수집기 현황 (회의록상 10/29 목요일)</t>
  </si>
  <si>
    <t xml:space="preserve">SMS 실발송 테스트 완료</t>
  </si>
  <si>
    <t xml:space="preserve">실제 발신번호·080 수신거부 포함 발송 확인</t>
  </si>
  <si>
    <t xml:space="preserve">한국 라이브 서버 정보 인계 확인</t>
  </si>
  <si>
    <t xml:space="preserve">IP·권한·환경 정보 인계</t>
  </si>
  <si>
    <t xml:space="preserve">SMS 발신번호 증명원 확보</t>
  </si>
  <si>
    <t xml:space="preserve">증명원 수령 및 발신번호 등록 신청</t>
  </si>
  <si>
    <t xml:space="preserve">유럽 DB 3개 통합 여부 결론</t>
  </si>
  <si>
    <t xml:space="preserve">통합/분리 결정과 KOR 스택 영향 공유</t>
  </si>
  <si>
    <t xml:space="preserve">리스크 · 미결 결정 · 결정 기록</t>
  </si>
  <si>
    <t xml:space="preserve">리스크</t>
  </si>
  <si>
    <t xml:space="preserve">ID</t>
  </si>
  <si>
    <t xml:space="preserve">내용</t>
  </si>
  <si>
    <t xml:space="preserve">대응</t>
  </si>
  <si>
    <t xml:space="preserve">점검일</t>
  </si>
  <si>
    <t xml:space="preserve">영향</t>
  </si>
  <si>
    <t xml:space="preserve">R1</t>
  </si>
  <si>
    <t xml:space="preserve">마케팅·PR 실행 주체 부재</t>
  </si>
  <si>
    <t xml:space="preserve">사전예약(11/17)까지 3주, 기사·소재·매체 미정</t>
  </si>
  <si>
    <t xml:space="preserve">투트랙: 11/3까지 대행사 결정, 미결정 시 사내 직접 + 배포 서비스</t>
  </si>
  <si>
    <t xml:space="preserve">높음</t>
  </si>
  <si>
    <t xml:space="preserve">R2</t>
  </si>
  <si>
    <t xml:space="preserve">개발 1인 병목</t>
  </si>
  <si>
    <t xml:space="preserve">미완료 Jira 67건 중 50건 김용진, KOR 스택 착수 기록 없음</t>
  </si>
  <si>
    <t xml:space="preserve">12/8 필수 vs 출시 후 분리, 런칭 무관 과제 이월</t>
  </si>
  <si>
    <t xml:space="preserve">R3</t>
  </si>
  <si>
    <t xml:space="preserve">스펙 확정 → QA 간격</t>
  </si>
  <si>
    <t xml:space="preserve">11/10 이후 스펙 확정, 11/23 QA까지 2주 미만</t>
  </si>
  <si>
    <t xml:space="preserve">확정 가능한 80% 선행 개발, 확정 D-day 고정</t>
  </si>
  <si>
    <t xml:space="preserve">중간</t>
  </si>
  <si>
    <t xml:space="preserve">R4</t>
  </si>
  <si>
    <t xml:space="preserve">PG 승인 → 결제 검수 간격</t>
  </si>
  <si>
    <t xml:space="preserve">심사 후 실결제·취소·환불 검수 기간 필요</t>
  </si>
  <si>
    <t xml:space="preserve">PG 세부 일정 공유 후 N-19 시작일 연결</t>
  </si>
  <si>
    <t xml:space="preserve">R5</t>
  </si>
  <si>
    <t xml:space="preserve">한국 매칭 풀</t>
  </si>
  <si>
    <t xml:space="preserve">독립 서버 + 목표 DAU 800 → 매칭 성립 리스크</t>
  </si>
  <si>
    <t xml:space="preserve">오픈 모드·맵 축소 운영안</t>
  </si>
  <si>
    <t xml:space="preserve">R6</t>
  </si>
  <si>
    <t xml:space="preserve">12/22 지연 시 연말 운영</t>
  </si>
  <si>
    <t xml:space="preserve">출시 직후 72시간이 크리스마스·연말과 겹침</t>
  </si>
  <si>
    <t xml:space="preserve">지연 확정 시 인력 대기표 사전 확보</t>
  </si>
  <si>
    <t xml:space="preserve">낮음</t>
  </si>
  <si>
    <t xml:space="preserve">R7</t>
  </si>
  <si>
    <t xml:space="preserve">매체 집행 리드타임</t>
  </si>
  <si>
    <t xml:space="preserve">인벤 PICK은 사전예약 시작일부터 14일 고정·소재 교체 불가, 지하철 포스터는 11/19 전 부착</t>
  </si>
  <si>
    <t xml:space="preserve">11/6까지 매체 계약, 11/12까지 소재 제출 (A-29~A-31)</t>
  </si>
  <si>
    <t xml:space="preserve">R8</t>
  </si>
  <si>
    <t xml:space="preserve">인프라 미해결 항목</t>
  </si>
  <si>
    <t xml:space="preserve">Info Server 재기동, BattlEye, Crash 수집기 원인·일정 미정 (10/23 회의록)</t>
  </si>
  <si>
    <t xml:space="preserve">10/29 회의에서 담당·완료일 확정 (A-21·A-22·A-24)</t>
  </si>
  <si>
    <t xml:space="preserve">R9</t>
  </si>
  <si>
    <t xml:space="preserve">12월 업데이트 마감 vs 코드 프리즈</t>
  </si>
  <si>
    <t xml:space="preserve">Jira Epic 마감 12/3, 코드 프리즈 제안 11/20·QA 인계 11/23</t>
  </si>
  <si>
    <t xml:space="preserve">12/8 필수 조합 범위만 11/20 프리즈, 나머지는 핫픽스·출시 후 (A-23)</t>
  </si>
  <si>
    <t xml:space="preserve">미결 결정</t>
  </si>
  <si>
    <t xml:space="preserve">결정 사항</t>
  </si>
  <si>
    <t xml:space="preserve">결정 담당</t>
  </si>
  <si>
    <t xml:space="preserve">기한</t>
  </si>
  <si>
    <t xml:space="preserve">비고</t>
  </si>
  <si>
    <t xml:space="preserve">Q1</t>
  </si>
  <si>
    <r>
      <rPr>
        <sz val="10"/>
        <color rgb="FF1F2933"/>
        <rFont val="Arial"/>
        <family val="2"/>
        <charset val="1"/>
      </rPr>
      <t xml:space="preserve">12</t>
    </r>
    <r>
      <rPr>
        <sz val="10"/>
        <color rgb="FF1F2933"/>
        <rFont val="Noto Sans CJK SC"/>
        <family val="2"/>
      </rPr>
      <t xml:space="preserve">월 런칭 스펙 확정일</t>
    </r>
  </si>
  <si>
    <r>
      <rPr>
        <sz val="10"/>
        <color rgb="FF1F2933"/>
        <rFont val="Arial"/>
        <family val="2"/>
        <charset val="1"/>
      </rPr>
      <t xml:space="preserve">11</t>
    </r>
    <r>
      <rPr>
        <sz val="10"/>
        <color rgb="FF1F2933"/>
        <rFont val="Noto Sans CJK SC"/>
        <family val="2"/>
      </rPr>
      <t xml:space="preserve">월 업데이트 이후 확정 예정</t>
    </r>
  </si>
  <si>
    <t xml:space="preserve">Q2</t>
  </si>
  <si>
    <r>
      <rPr>
        <sz val="10"/>
        <color rgb="FF1F2933"/>
        <rFont val="Arial"/>
        <family val="2"/>
        <charset val="1"/>
      </rPr>
      <t xml:space="preserve">PR </t>
    </r>
    <r>
      <rPr>
        <sz val="10"/>
        <color rgb="FF1F2933"/>
        <rFont val="Noto Sans CJK SC"/>
        <family val="2"/>
      </rPr>
      <t xml:space="preserve">방식</t>
    </r>
    <r>
      <rPr>
        <sz val="10"/>
        <color rgb="FF1F2933"/>
        <rFont val="Arial"/>
        <family val="2"/>
        <charset val="1"/>
      </rPr>
      <t xml:space="preserve">(</t>
    </r>
    <r>
      <rPr>
        <sz val="10"/>
        <color rgb="FF1F2933"/>
        <rFont val="Noto Sans CJK SC"/>
        <family val="2"/>
      </rPr>
      <t xml:space="preserve">사내</t>
    </r>
    <r>
      <rPr>
        <sz val="10"/>
        <color rgb="FF1F2933"/>
        <rFont val="Arial"/>
        <family val="2"/>
        <charset val="1"/>
      </rPr>
      <t xml:space="preserve">/</t>
    </r>
    <r>
      <rPr>
        <sz val="10"/>
        <color rgb="FF1F2933"/>
        <rFont val="Noto Sans CJK SC"/>
        <family val="2"/>
      </rPr>
      <t xml:space="preserve">대행사</t>
    </r>
    <r>
      <rPr>
        <sz val="10"/>
        <color rgb="FF1F2933"/>
        <rFont val="Arial"/>
        <family val="2"/>
        <charset val="1"/>
      </rPr>
      <t xml:space="preserve">)·</t>
    </r>
    <r>
      <rPr>
        <sz val="10"/>
        <color rgb="FF1F2933"/>
        <rFont val="Noto Sans CJK SC"/>
        <family val="2"/>
      </rPr>
      <t xml:space="preserve">예산</t>
    </r>
  </si>
  <si>
    <t xml:space="preserve">이력 확인 후 결정</t>
  </si>
  <si>
    <t xml:space="preserve">Q3</t>
  </si>
  <si>
    <r>
      <rPr>
        <sz val="10"/>
        <color rgb="FF1F2933"/>
        <rFont val="Noto Sans CJK SC"/>
        <family val="2"/>
      </rPr>
      <t xml:space="preserve">코드 프리즈</t>
    </r>
    <r>
      <rPr>
        <sz val="10"/>
        <color rgb="FF1F2933"/>
        <rFont val="Arial"/>
        <family val="2"/>
        <charset val="1"/>
      </rPr>
      <t xml:space="preserve">·</t>
    </r>
    <r>
      <rPr>
        <sz val="10"/>
        <color rgb="FF1F2933"/>
        <rFont val="Noto Sans CJK SC"/>
        <family val="2"/>
      </rPr>
      <t xml:space="preserve">후보 빌드 인계일</t>
    </r>
  </si>
  <si>
    <t xml:space="preserve">Q4</t>
  </si>
  <si>
    <r>
      <rPr>
        <sz val="10"/>
        <color rgb="FF1F2933"/>
        <rFont val="Noto Sans CJK SC"/>
        <family val="2"/>
      </rPr>
      <t xml:space="preserve">출시 결제수단 </t>
    </r>
    <r>
      <rPr>
        <sz val="10"/>
        <color rgb="FF1F2933"/>
        <rFont val="Arial"/>
        <family val="2"/>
        <charset val="1"/>
      </rPr>
      <t xml:space="preserve">(</t>
    </r>
    <r>
      <rPr>
        <sz val="10"/>
        <color rgb="FF1F2933"/>
        <rFont val="Noto Sans CJK SC"/>
        <family val="2"/>
      </rPr>
      <t xml:space="preserve">카드사 승인 결과</t>
    </r>
    <r>
      <rPr>
        <sz val="10"/>
        <color rgb="FF1F2933"/>
        <rFont val="Arial"/>
        <family val="2"/>
        <charset val="1"/>
      </rPr>
      <t xml:space="preserve">)</t>
    </r>
  </si>
  <si>
    <r>
      <rPr>
        <sz val="10"/>
        <color rgb="FF1F2933"/>
        <rFont val="Arial"/>
        <family val="2"/>
        <charset val="1"/>
      </rPr>
      <t xml:space="preserve">PG </t>
    </r>
    <r>
      <rPr>
        <sz val="10"/>
        <color rgb="FF1F2933"/>
        <rFont val="Noto Sans CJK SC"/>
        <family val="2"/>
      </rPr>
      <t xml:space="preserve">심사 결과 이후</t>
    </r>
  </si>
  <si>
    <t xml:space="preserve">Q5</t>
  </si>
  <si>
    <r>
      <rPr>
        <sz val="10"/>
        <color rgb="FF1F2933"/>
        <rFont val="Noto Sans CJK SC"/>
        <family val="2"/>
      </rPr>
      <t xml:space="preserve">한국 오픈 모드</t>
    </r>
    <r>
      <rPr>
        <sz val="10"/>
        <color rgb="FF1F2933"/>
        <rFont val="Arial"/>
        <family val="2"/>
        <charset val="1"/>
      </rPr>
      <t xml:space="preserve">·</t>
    </r>
    <r>
      <rPr>
        <sz val="10"/>
        <color rgb="FF1F2933"/>
        <rFont val="Noto Sans CJK SC"/>
        <family val="2"/>
      </rPr>
      <t xml:space="preserve">맵 범위</t>
    </r>
  </si>
  <si>
    <t xml:space="preserve">매칭 풀 대응</t>
  </si>
  <si>
    <t xml:space="preserve">Q6</t>
  </si>
  <si>
    <t xml:space="preserve">등급 결과 전 홍보 가능 범위</t>
  </si>
  <si>
    <r>
      <rPr>
        <sz val="10"/>
        <color rgb="FF1F2933"/>
        <rFont val="Noto Sans CJK SC"/>
        <family val="2"/>
      </rPr>
      <t xml:space="preserve">사전예약</t>
    </r>
    <r>
      <rPr>
        <sz val="10"/>
        <color rgb="FF1F2933"/>
        <rFont val="Arial"/>
        <family val="2"/>
        <charset val="1"/>
      </rPr>
      <t xml:space="preserve">·</t>
    </r>
    <r>
      <rPr>
        <sz val="10"/>
        <color rgb="FF1F2933"/>
        <rFont val="Noto Sans CJK SC"/>
        <family val="2"/>
      </rPr>
      <t xml:space="preserve">기사 일정과 연결</t>
    </r>
  </si>
  <si>
    <t xml:space="preserve">Q7</t>
  </si>
  <si>
    <r>
      <rPr>
        <sz val="10"/>
        <color rgb="FF1F2933"/>
        <rFont val="Arial"/>
        <family val="2"/>
        <charset val="1"/>
      </rPr>
      <t xml:space="preserve">12/22 </t>
    </r>
    <r>
      <rPr>
        <sz val="10"/>
        <color rgb="FF1F2933"/>
        <rFont val="Noto Sans CJK SC"/>
        <family val="2"/>
      </rPr>
      <t xml:space="preserve">연기 시 대외 안내 시나리오</t>
    </r>
  </si>
  <si>
    <r>
      <rPr>
        <sz val="10"/>
        <color rgb="FF1F2933"/>
        <rFont val="Arial"/>
        <family val="2"/>
        <charset val="1"/>
      </rPr>
      <t xml:space="preserve">12/3 </t>
    </r>
    <r>
      <rPr>
        <sz val="10"/>
        <color rgb="FF1F2933"/>
        <rFont val="Noto Sans CJK SC"/>
        <family val="2"/>
      </rPr>
      <t xml:space="preserve">결정 전 준비</t>
    </r>
  </si>
  <si>
    <t xml:space="preserve">Q8</t>
  </si>
  <si>
    <r>
      <rPr>
        <sz val="10"/>
        <color rgb="FF1F2933"/>
        <rFont val="Noto Sans CJK SC"/>
        <family val="2"/>
      </rPr>
      <t xml:space="preserve">원화 상품 가격표 </t>
    </r>
    <r>
      <rPr>
        <sz val="10"/>
        <color rgb="FF1F2933"/>
        <rFont val="Arial"/>
        <family val="2"/>
        <charset val="1"/>
      </rPr>
      <t xml:space="preserve">(SFC </t>
    </r>
    <r>
      <rPr>
        <sz val="10"/>
        <color rgb="FF1F2933"/>
        <rFont val="Noto Sans CJK SC"/>
        <family val="2"/>
      </rPr>
      <t xml:space="preserve">수량</t>
    </r>
    <r>
      <rPr>
        <sz val="10"/>
        <color rgb="FF1F2933"/>
        <rFont val="Arial"/>
        <family val="2"/>
        <charset val="1"/>
      </rPr>
      <t xml:space="preserve">·</t>
    </r>
    <r>
      <rPr>
        <sz val="10"/>
        <color rgb="FF1F2933"/>
        <rFont val="Noto Sans CJK SC"/>
        <family val="2"/>
      </rPr>
      <t xml:space="preserve">보너스</t>
    </r>
    <r>
      <rPr>
        <sz val="10"/>
        <color rgb="FF1F2933"/>
        <rFont val="Arial"/>
        <family val="2"/>
        <charset val="1"/>
      </rPr>
      <t xml:space="preserve">)</t>
    </r>
  </si>
  <si>
    <r>
      <rPr>
        <sz val="10"/>
        <color rgb="FF1F2933"/>
        <rFont val="Arial"/>
        <family val="2"/>
        <charset val="1"/>
      </rPr>
      <t xml:space="preserve">PG </t>
    </r>
    <r>
      <rPr>
        <sz val="10"/>
        <color rgb="FF1F2933"/>
        <rFont val="Noto Sans CJK SC"/>
        <family val="2"/>
      </rPr>
      <t xml:space="preserve">실결제 검수 전 </t>
    </r>
    <r>
      <rPr>
        <sz val="10"/>
        <color rgb="FF1F2933"/>
        <rFont val="Arial"/>
        <family val="2"/>
        <charset val="1"/>
      </rPr>
      <t xml:space="preserve">DB </t>
    </r>
    <r>
      <rPr>
        <sz val="10"/>
        <color rgb="FF1F2933"/>
        <rFont val="Noto Sans CJK SC"/>
        <family val="2"/>
      </rPr>
      <t xml:space="preserve">등록 필요 </t>
    </r>
    <r>
      <rPr>
        <sz val="10"/>
        <color rgb="FF1F2933"/>
        <rFont val="Arial"/>
        <family val="2"/>
        <charset val="1"/>
      </rPr>
      <t xml:space="preserve">(A-12·A-13)</t>
    </r>
  </si>
  <si>
    <t xml:space="preserve">Q9</t>
  </si>
  <si>
    <t xml:space="preserve">등급 내용수정 신고 필요 여부</t>
  </si>
  <si>
    <r>
      <rPr>
        <sz val="10"/>
        <color rgb="FF1F2933"/>
        <rFont val="Noto Sans CJK SC"/>
        <family val="2"/>
      </rPr>
      <t xml:space="preserve">심의 빌드 이후 콘텐츠 추가분 </t>
    </r>
    <r>
      <rPr>
        <sz val="10"/>
        <color rgb="FF1F2933"/>
        <rFont val="Arial"/>
        <family val="2"/>
        <charset val="1"/>
      </rPr>
      <t xml:space="preserve">(A-02)</t>
    </r>
  </si>
  <si>
    <t xml:space="preserve">Q10</t>
  </si>
  <si>
    <r>
      <rPr>
        <sz val="10"/>
        <color rgb="FF1F2933"/>
        <rFont val="Arial"/>
        <family val="2"/>
        <charset val="1"/>
      </rPr>
      <t xml:space="preserve">PG </t>
    </r>
    <r>
      <rPr>
        <sz val="10"/>
        <color rgb="FF1F2933"/>
        <rFont val="Noto Sans CJK SC"/>
        <family val="2"/>
      </rPr>
      <t xml:space="preserve">심사 시작 조건 </t>
    </r>
    <r>
      <rPr>
        <sz val="10"/>
        <color rgb="FF1F2933"/>
        <rFont val="Arial"/>
        <family val="2"/>
        <charset val="1"/>
      </rPr>
      <t xml:space="preserve">(</t>
    </r>
    <r>
      <rPr>
        <sz val="10"/>
        <color rgb="FF1F2933"/>
        <rFont val="Noto Sans CJK SC"/>
        <family val="2"/>
      </rPr>
      <t xml:space="preserve">사이트 완성 필요 여부</t>
    </r>
    <r>
      <rPr>
        <sz val="10"/>
        <color rgb="FF1F2933"/>
        <rFont val="Arial"/>
        <family val="2"/>
        <charset val="1"/>
      </rPr>
      <t xml:space="preserve">)</t>
    </r>
  </si>
  <si>
    <r>
      <rPr>
        <sz val="10"/>
        <color rgb="FF1F2933"/>
        <rFont val="Noto Sans CJK SC"/>
        <family val="2"/>
      </rPr>
      <t xml:space="preserve">회의록은 </t>
    </r>
    <r>
      <rPr>
        <sz val="10"/>
        <color rgb="FF1F2933"/>
        <rFont val="Arial"/>
        <family val="2"/>
        <charset val="1"/>
      </rPr>
      <t xml:space="preserve">11/13 </t>
    </r>
    <r>
      <rPr>
        <sz val="10"/>
        <color rgb="FF1F2933"/>
        <rFont val="Noto Sans CJK SC"/>
        <family val="2"/>
      </rPr>
      <t xml:space="preserve">홈페이지 후 심사 순서</t>
    </r>
  </si>
  <si>
    <t xml:space="preserve">결정 기록</t>
  </si>
  <si>
    <t xml:space="preserve">결정 내용</t>
  </si>
  <si>
    <t xml:space="preserve">근거</t>
  </si>
  <si>
    <t xml:space="preserve">한국 단독 서비스 전환 — 글로벌 구조 복제, 개발 최소화</t>
  </si>
  <si>
    <t xml:space="preserve">법무 검토 결과</t>
  </si>
  <si>
    <t xml:space="preserve">한국 서버 전부 한국 소재, 계정 기준 분리·크로스 접속 불가</t>
  </si>
  <si>
    <t xml:space="preserve">플랫폼 별개</t>
  </si>
  <si>
    <t xml:space="preserve">12/8 목표, 지연 시 12/22 마지노선, 최종 결정 12/3경, 대외 날짜 미고정</t>
  </si>
  <si>
    <t xml:space="preserve">10/26 공유</t>
  </si>
  <si>
    <t xml:space="preserve">공식 명칭: S.K.I.L.L. Special Force 2 / Operation - RE:FORCE</t>
  </si>
  <si>
    <t xml:space="preserve">D-06</t>
  </si>
  <si>
    <t xml:space="preserve">미성년 차단은 게임 우선 적용 후 웹 차단으로 통일</t>
  </si>
  <si>
    <t xml:space="preserve">X-09 · C-11</t>
  </si>
  <si>
    <t xml:space="preserve">운영 비용 대표 승인 완료 (내역 정리 필요)</t>
  </si>
  <si>
    <t xml:space="preserve">기준 · 사용 안내</t>
  </si>
  <si>
    <t xml:space="preserve">입력 칸</t>
  </si>
  <si>
    <t xml:space="preserve">통합 일정 시트의 담당·시작일·완료일·구분·상태·비고만 수정. 주간 막대는 수식으로 자동 표시 (날짜는 파란 글씨)</t>
  </si>
  <si>
    <t xml:space="preserve">통합 일정 C4를 바꾸면 D-day와 "이번 주" 헤더 색이 함께 바뀜</t>
  </si>
  <si>
    <t xml:space="preserve">확정 = 사용자 확정·Jira 기한 / 제안 = 역산 제안, 협의 필요 / 외부 = 기관·PG사 일정 / 마일스톤 = 핵심 게이트</t>
  </si>
  <si>
    <t xml:space="preserve">완료 · 진행 중 · 예정 · 확인 필요 · 지연 · 대기 (드롭다운)</t>
  </si>
  <si>
    <t xml:space="preserve">시작일·완료일이 모두 비어 있으면 막대가 표시되지 않음 — 날짜 미정 건수로 집계</t>
  </si>
  <si>
    <t xml:space="preserve">기존 통합일정 파일(SF2_Operation_REFORCE_통합일정_확정사항반영.xlsx)의 관리 ID·Jira 키. 세부 158개 항목은 기존 파일에서 확인</t>
  </si>
  <si>
    <t xml:space="preserve">반영 기준</t>
  </si>
  <si>
    <r>
      <rPr>
        <sz val="10"/>
        <color rgb="FF1F2933"/>
        <rFont val="Arial"/>
        <family val="2"/>
        <charset val="1"/>
      </rPr>
      <t xml:space="preserve">10/26 </t>
    </r>
    <r>
      <rPr>
        <sz val="10"/>
        <color rgb="FF1F2933"/>
        <rFont val="Noto Sans CJK SC"/>
        <family val="2"/>
      </rPr>
      <t xml:space="preserve">대화에서 공유된 진행 사항 반영</t>
    </r>
    <r>
      <rPr>
        <sz val="10"/>
        <color rgb="FF1F2933"/>
        <rFont val="Arial"/>
        <family val="2"/>
        <charset val="1"/>
      </rPr>
      <t xml:space="preserve">: </t>
    </r>
    <r>
      <rPr>
        <sz val="10"/>
        <color rgb="FF1F2933"/>
        <rFont val="Noto Sans CJK SC"/>
        <family val="2"/>
      </rPr>
      <t xml:space="preserve">한국 단독 서비스</t>
    </r>
    <r>
      <rPr>
        <sz val="10"/>
        <color rgb="FF1F2933"/>
        <rFont val="Arial"/>
        <family val="2"/>
        <charset val="1"/>
      </rPr>
      <t xml:space="preserve">, </t>
    </r>
    <r>
      <rPr>
        <sz val="10"/>
        <color rgb="FF1F2933"/>
        <rFont val="Noto Sans CJK SC"/>
        <family val="2"/>
      </rPr>
      <t xml:space="preserve">서버 한국 소재</t>
    </r>
    <r>
      <rPr>
        <sz val="10"/>
        <color rgb="FF1F2933"/>
        <rFont val="Arial"/>
        <family val="2"/>
        <charset val="1"/>
      </rPr>
      <t xml:space="preserve">, </t>
    </r>
    <r>
      <rPr>
        <sz val="10"/>
        <color rgb="FF1F2933"/>
        <rFont val="Noto Sans CJK SC"/>
        <family val="2"/>
      </rPr>
      <t xml:space="preserve">계정 분리</t>
    </r>
    <r>
      <rPr>
        <sz val="10"/>
        <color rgb="FF1F2933"/>
        <rFont val="Arial"/>
        <family val="2"/>
        <charset val="1"/>
      </rPr>
      <t xml:space="preserve">, 12/3 </t>
    </r>
    <r>
      <rPr>
        <sz val="10"/>
        <color rgb="FF1F2933"/>
        <rFont val="Noto Sans CJK SC"/>
        <family val="2"/>
      </rPr>
      <t xml:space="preserve">결정</t>
    </r>
    <r>
      <rPr>
        <sz val="10"/>
        <color rgb="FF1F2933"/>
        <rFont val="Arial"/>
        <family val="2"/>
        <charset val="1"/>
      </rPr>
      <t xml:space="preserve">·12/22 </t>
    </r>
    <r>
      <rPr>
        <sz val="10"/>
        <color rgb="FF1F2933"/>
        <rFont val="Noto Sans CJK SC"/>
        <family val="2"/>
      </rPr>
      <t xml:space="preserve">마지노선</t>
    </r>
    <r>
      <rPr>
        <sz val="10"/>
        <color rgb="FF1F2933"/>
        <rFont val="Arial"/>
        <family val="2"/>
        <charset val="1"/>
      </rPr>
      <t xml:space="preserve">, </t>
    </r>
    <r>
      <rPr>
        <sz val="10"/>
        <color rgb="FF1F2933"/>
        <rFont val="Noto Sans CJK SC"/>
        <family val="2"/>
      </rPr>
      <t xml:space="preserve">등급분류 </t>
    </r>
    <r>
      <rPr>
        <sz val="10"/>
        <color rgb="FF1F2933"/>
        <rFont val="Arial"/>
        <family val="2"/>
        <charset val="1"/>
      </rPr>
      <t xml:space="preserve">10/27 </t>
    </r>
    <r>
      <rPr>
        <sz val="10"/>
        <color rgb="FF1F2933"/>
        <rFont val="Noto Sans CJK SC"/>
        <family val="2"/>
      </rPr>
      <t xml:space="preserve">신청</t>
    </r>
    <r>
      <rPr>
        <sz val="10"/>
        <color rgb="FF1F2933"/>
        <rFont val="Arial"/>
        <family val="2"/>
        <charset val="1"/>
      </rPr>
      <t xml:space="preserve">(</t>
    </r>
    <r>
      <rPr>
        <sz val="10"/>
        <color rgb="FF1F2933"/>
        <rFont val="Noto Sans CJK SC"/>
        <family val="2"/>
      </rPr>
      <t xml:space="preserve">최장 </t>
    </r>
    <r>
      <rPr>
        <sz val="10"/>
        <color rgb="FF1F2933"/>
        <rFont val="Arial"/>
        <family val="2"/>
        <charset val="1"/>
      </rPr>
      <t xml:space="preserve">3</t>
    </r>
    <r>
      <rPr>
        <sz val="10"/>
        <color rgb="FF1F2933"/>
        <rFont val="Noto Sans CJK SC"/>
        <family val="2"/>
      </rPr>
      <t xml:space="preserve">주</t>
    </r>
    <r>
      <rPr>
        <sz val="10"/>
        <color rgb="FF1F2933"/>
        <rFont val="Arial"/>
        <family val="2"/>
        <charset val="1"/>
      </rPr>
      <t xml:space="preserve">), PG </t>
    </r>
    <r>
      <rPr>
        <sz val="10"/>
        <color rgb="FF1F2933"/>
        <rFont val="Noto Sans CJK SC"/>
        <family val="2"/>
      </rPr>
      <t xml:space="preserve">심사 </t>
    </r>
    <r>
      <rPr>
        <sz val="10"/>
        <color rgb="FF1F2933"/>
        <rFont val="Arial"/>
        <family val="2"/>
        <charset val="1"/>
      </rPr>
      <t xml:space="preserve">11/16 </t>
    </r>
    <r>
      <rPr>
        <sz val="10"/>
        <color rgb="FF1F2933"/>
        <rFont val="Noto Sans CJK SC"/>
        <family val="2"/>
      </rPr>
      <t xml:space="preserve">목표</t>
    </r>
    <r>
      <rPr>
        <sz val="10"/>
        <color rgb="FF1F2933"/>
        <rFont val="Arial"/>
        <family val="2"/>
        <charset val="1"/>
      </rPr>
      <t xml:space="preserve">, SMS 10/30 </t>
    </r>
    <r>
      <rPr>
        <sz val="10"/>
        <color rgb="FF1F2933"/>
        <rFont val="Noto Sans CJK SC"/>
        <family val="2"/>
      </rPr>
      <t xml:space="preserve">테스트</t>
    </r>
    <r>
      <rPr>
        <sz val="10"/>
        <color rgb="FF1F2933"/>
        <rFont val="Arial"/>
        <family val="2"/>
        <charset val="1"/>
      </rPr>
      <t xml:space="preserve">, </t>
    </r>
    <r>
      <rPr>
        <sz val="10"/>
        <color rgb="FF1F2933"/>
        <rFont val="Noto Sans CJK SC"/>
        <family val="2"/>
      </rPr>
      <t xml:space="preserve">사전예약 페이지 </t>
    </r>
    <r>
      <rPr>
        <sz val="10"/>
        <color rgb="FF1F2933"/>
        <rFont val="Arial"/>
        <family val="2"/>
        <charset val="1"/>
      </rPr>
      <t xml:space="preserve">90% / 10/27 </t>
    </r>
    <r>
      <rPr>
        <sz val="10"/>
        <color rgb="FF1F2933"/>
        <rFont val="Noto Sans CJK SC"/>
        <family val="2"/>
      </rPr>
      <t xml:space="preserve">보완</t>
    </r>
    <r>
      <rPr>
        <sz val="10"/>
        <color rgb="FF1F2933"/>
        <rFont val="Arial"/>
        <family val="2"/>
        <charset val="1"/>
      </rPr>
      <t xml:space="preserve">: 10/23 </t>
    </r>
    <r>
      <rPr>
        <sz val="10"/>
        <color rgb="FF1F2933"/>
        <rFont val="Noto Sans CJK SC"/>
        <family val="2"/>
      </rPr>
      <t xml:space="preserve">회의록</t>
    </r>
    <r>
      <rPr>
        <sz val="10"/>
        <color rgb="FF1F2933"/>
        <rFont val="Arial"/>
        <family val="2"/>
        <charset val="1"/>
      </rPr>
      <t xml:space="preserve">·</t>
    </r>
    <r>
      <rPr>
        <sz val="10"/>
        <color rgb="FF1F2933"/>
        <rFont val="Noto Sans CJK SC"/>
        <family val="2"/>
      </rPr>
      <t xml:space="preserve">사업검토 </t>
    </r>
    <r>
      <rPr>
        <sz val="10"/>
        <color rgb="FF1F2933"/>
        <rFont val="Arial"/>
        <family val="2"/>
        <charset val="1"/>
      </rPr>
      <t xml:space="preserve">5</t>
    </r>
    <r>
      <rPr>
        <sz val="10"/>
        <color rgb="FF1F2933"/>
        <rFont val="Noto Sans CJK SC"/>
        <family val="2"/>
      </rPr>
      <t xml:space="preserve">차</t>
    </r>
    <r>
      <rPr>
        <sz val="10"/>
        <color rgb="FF1F2933"/>
        <rFont val="Arial"/>
        <family val="2"/>
        <charset val="1"/>
      </rPr>
      <t xml:space="preserve">·</t>
    </r>
    <r>
      <rPr>
        <sz val="10"/>
        <color rgb="FF1F2933"/>
        <rFont val="Noto Sans CJK SC"/>
        <family val="2"/>
      </rPr>
      <t xml:space="preserve">마스터플랜</t>
    </r>
    <r>
      <rPr>
        <sz val="10"/>
        <color rgb="FF1F2933"/>
        <rFont val="Arial"/>
        <family val="2"/>
        <charset val="1"/>
      </rPr>
      <t xml:space="preserve">·</t>
    </r>
    <r>
      <rPr>
        <sz val="10"/>
        <color rgb="FF1F2933"/>
        <rFont val="Noto Sans CJK SC"/>
        <family val="2"/>
      </rPr>
      <t xml:space="preserve">시즌</t>
    </r>
    <r>
      <rPr>
        <sz val="10"/>
        <color rgb="FF1F2933"/>
        <rFont val="Arial"/>
        <family val="2"/>
        <charset val="1"/>
      </rPr>
      <t xml:space="preserve">2 </t>
    </r>
    <r>
      <rPr>
        <sz val="10"/>
        <color rgb="FF1F2933"/>
        <rFont val="Noto Sans CJK SC"/>
        <family val="2"/>
      </rPr>
      <t xml:space="preserve">운영전략</t>
    </r>
    <r>
      <rPr>
        <sz val="10"/>
        <color rgb="FF1F2933"/>
        <rFont val="Arial"/>
        <family val="2"/>
        <charset val="1"/>
      </rPr>
      <t xml:space="preserve">·</t>
    </r>
    <r>
      <rPr>
        <sz val="10"/>
        <color rgb="FF1F2933"/>
        <rFont val="Noto Sans CJK SC"/>
        <family val="2"/>
      </rPr>
      <t xml:space="preserve">인벤 상품소개서</t>
    </r>
    <r>
      <rPr>
        <sz val="10"/>
        <color rgb="FF1F2933"/>
        <rFont val="Arial"/>
        <family val="2"/>
        <charset val="1"/>
      </rPr>
      <t xml:space="preserve">·</t>
    </r>
    <r>
      <rPr>
        <sz val="10"/>
        <color rgb="FF1F2933"/>
        <rFont val="Noto Sans CJK SC"/>
        <family val="2"/>
      </rPr>
      <t xml:space="preserve">한국어 리소스 시트</t>
    </r>
    <r>
      <rPr>
        <sz val="10"/>
        <color rgb="FF1F2933"/>
        <rFont val="Arial"/>
        <family val="2"/>
        <charset val="1"/>
      </rPr>
      <t xml:space="preserve">·SFC </t>
    </r>
    <r>
      <rPr>
        <sz val="10"/>
        <color rgb="FF1F2933"/>
        <rFont val="Noto Sans CJK SC"/>
        <family val="2"/>
      </rPr>
      <t xml:space="preserve">가격 설계안과 대조해 누락 항목 추가</t>
    </r>
    <r>
      <rPr>
        <sz val="10"/>
        <color rgb="FF1F2933"/>
        <rFont val="Arial"/>
        <family val="2"/>
        <charset val="1"/>
      </rPr>
      <t xml:space="preserve">(</t>
    </r>
    <r>
      <rPr>
        <sz val="10"/>
        <color rgb="FF1F2933"/>
        <rFont val="Noto Sans CJK SC"/>
        <family val="2"/>
      </rPr>
      <t xml:space="preserve">연결 </t>
    </r>
    <r>
      <rPr>
        <sz val="10"/>
        <color rgb="FF1F2933"/>
        <rFont val="Arial"/>
        <family val="2"/>
        <charset val="1"/>
      </rPr>
      <t xml:space="preserve">ID A-01~A-39, </t>
    </r>
    <r>
      <rPr>
        <sz val="10"/>
        <color rgb="FF1F2933"/>
        <rFont val="Noto Sans CJK SC"/>
        <family val="2"/>
      </rPr>
      <t xml:space="preserve">비고 </t>
    </r>
    <r>
      <rPr>
        <sz val="10"/>
        <color rgb="FF1F2933"/>
        <rFont val="Arial"/>
        <family val="2"/>
        <charset val="1"/>
      </rPr>
      <t xml:space="preserve">"[10/27 </t>
    </r>
    <r>
      <rPr>
        <sz val="10"/>
        <color rgb="FF1F2933"/>
        <rFont val="Noto Sans CJK SC"/>
        <family val="2"/>
      </rPr>
      <t xml:space="preserve">추가</t>
    </r>
    <r>
      <rPr>
        <sz val="10"/>
        <color rgb="FF1F2933"/>
        <rFont val="Arial"/>
        <family val="2"/>
        <charset val="1"/>
      </rPr>
      <t xml:space="preserve">]"), </t>
    </r>
    <r>
      <rPr>
        <sz val="10"/>
        <color rgb="FF1F2933"/>
        <rFont val="Noto Sans CJK SC"/>
        <family val="2"/>
      </rPr>
      <t xml:space="preserve">기존 행 보완은 비고 </t>
    </r>
    <r>
      <rPr>
        <sz val="10"/>
        <color rgb="FF1F2933"/>
        <rFont val="Arial"/>
        <family val="2"/>
        <charset val="1"/>
      </rPr>
      <t xml:space="preserve">"[10/27 </t>
    </r>
    <r>
      <rPr>
        <sz val="10"/>
        <color rgb="FF1F2933"/>
        <rFont val="Noto Sans CJK SC"/>
        <family val="2"/>
      </rPr>
      <t xml:space="preserve">수정</t>
    </r>
    <r>
      <rPr>
        <sz val="10"/>
        <color rgb="FF1F2933"/>
        <rFont val="Arial"/>
        <family val="2"/>
        <charset val="1"/>
      </rPr>
      <t xml:space="preserve">]"</t>
    </r>
  </si>
  <si>
    <t xml:space="preserve">외부 일정</t>
  </si>
  <si>
    <t xml:space="preserve">지스타 2026: 11/19~22 (부산 벡스코, 공식 발표 기준)</t>
  </si>
  <si>
    <t xml:space="preserve">운영 원칙</t>
  </si>
  <si>
    <t xml:space="preserve">일일 미팅에서 확인 필요 항목 해소 → 주간 단위로 이 파일 갱신·공유 · 정기회의는 목요일(10/29~) 기준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</si>
</sst>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yyyy\-mm\-dd&quot; (&quot;ddd\)"/>
    <numFmt numFmtId="166" formatCode="&quot;D-&quot;0"/>
    <numFmt numFmtId="167" formatCode="m/d/yyyy"/>
    <numFmt numFmtId="168" formatCode="mm/dd&quot; (&quot;ddd\)"/>
    <numFmt numFmtId="169" formatCode=";;;"/>
  </numFmts>
  <fonts count="2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243B53"/>
      <name val="Arial"/>
      <family val="0"/>
      <charset val="1"/>
    </font>
    <font>
      <b val="true"/>
      <sz val="16"/>
      <color rgb="FF243B53"/>
      <name val="Noto Sans CJK SC"/>
      <family val="2"/>
    </font>
    <font>
      <sz val="9"/>
      <color rgb="FF52606D"/>
      <name val="Noto Sans CJK SC"/>
      <family val="2"/>
      <charset val="1"/>
    </font>
    <font>
      <b val="true"/>
      <sz val="10"/>
      <color rgb="FF1F2933"/>
      <name val="Noto Sans CJK SC"/>
      <family val="2"/>
      <charset val="1"/>
    </font>
    <font>
      <sz val="10"/>
      <color rgb="FF0000FF"/>
      <name val="Arial"/>
      <family val="2"/>
      <charset val="1"/>
    </font>
    <font>
      <b val="true"/>
      <sz val="12"/>
      <color rgb="FFC0392B"/>
      <name val="Arial"/>
      <family val="2"/>
      <charset val="1"/>
    </font>
    <font>
      <b val="true"/>
      <sz val="9"/>
      <color rgb="FF1F2933"/>
      <name val="Noto Sans CJK SC"/>
      <family val="2"/>
      <charset val="1"/>
    </font>
    <font>
      <sz val="10"/>
      <color rgb="FF1F2933"/>
      <name val="Noto Sans CJK SC"/>
      <family val="2"/>
      <charset val="1"/>
    </font>
    <font>
      <sz val="9"/>
      <color rgb="FF1F2933"/>
      <name val="Noto Sans CJK SC"/>
      <family val="2"/>
      <charset val="1"/>
    </font>
    <font>
      <b val="true"/>
      <sz val="10"/>
      <color rgb="FFFFFFFF"/>
      <name val="Noto Sans CJK SC"/>
      <family val="2"/>
      <charset val="1"/>
    </font>
    <font>
      <b val="true"/>
      <sz val="10"/>
      <color rgb="FFFFFFFF"/>
      <name val="Arial"/>
      <family val="2"/>
      <charset val="1"/>
    </font>
    <font>
      <b val="true"/>
      <sz val="10"/>
      <color rgb="FF243B53"/>
      <name val="Noto Sans CJK SC"/>
      <family val="2"/>
      <charset val="1"/>
    </font>
    <font>
      <sz val="10"/>
      <color rgb="FF1F2933"/>
      <name val="Arial"/>
      <family val="2"/>
      <charset val="1"/>
    </font>
    <font>
      <sz val="10"/>
      <color rgb="FF1F2933"/>
      <name val="Noto Sans CJK SC"/>
      <family val="2"/>
    </font>
    <font>
      <b val="true"/>
      <sz val="16"/>
      <color rgb="FF243B53"/>
      <name val="Noto Sans CJK SC"/>
      <family val="2"/>
      <charset val="1"/>
    </font>
    <font>
      <b val="true"/>
      <sz val="12"/>
      <color rgb="FF243B53"/>
      <name val="Noto Sans CJK SC"/>
      <family val="2"/>
      <charset val="1"/>
    </font>
  </fonts>
  <fills count="10">
    <fill>
      <patternFill patternType="none"/>
    </fill>
    <fill>
      <patternFill patternType="gray125"/>
    </fill>
    <fill>
      <patternFill patternType="solid">
        <fgColor rgb="FF2F855A"/>
        <bgColor rgb="FF1E7B34"/>
      </patternFill>
    </fill>
    <fill>
      <patternFill patternType="solid">
        <fgColor rgb="FF4A7FC1"/>
        <bgColor rgb="FF808080"/>
      </patternFill>
    </fill>
    <fill>
      <patternFill patternType="solid">
        <fgColor rgb="FFC0392B"/>
        <bgColor rgb="FFA61B1B"/>
      </patternFill>
    </fill>
    <fill>
      <patternFill patternType="solid">
        <fgColor rgb="FFF2C14E"/>
        <bgColor rgb="FFFF9900"/>
      </patternFill>
    </fill>
    <fill>
      <patternFill patternType="solid">
        <fgColor rgb="FFD97706"/>
        <bgColor rgb="FFFF9900"/>
      </patternFill>
    </fill>
    <fill>
      <patternFill patternType="solid">
        <fgColor rgb="FF9B8EC4"/>
        <bgColor rgb="FF9999FF"/>
      </patternFill>
    </fill>
    <fill>
      <patternFill patternType="solid">
        <fgColor rgb="FF243B53"/>
        <bgColor rgb="FF1F2933"/>
      </patternFill>
    </fill>
    <fill>
      <patternFill patternType="solid">
        <fgColor rgb="FFE8EDF3"/>
        <bgColor rgb="FFEEEEEE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5DCE4"/>
      </left>
      <right style="thin">
        <color rgb="FFD5DCE4"/>
      </right>
      <top style="thin">
        <color rgb="FFD5DCE4"/>
      </top>
      <bottom style="thin">
        <color rgb="FFD5DCE4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4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9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8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1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3">
    <dxf>
      <fill>
        <patternFill patternType="solid">
          <fgColor rgb="FF243B53"/>
          <bgColor rgb="FF000000"/>
        </patternFill>
      </fill>
    </dxf>
    <dxf>
      <fill>
        <patternFill patternType="solid">
          <fgColor rgb="FFE8EDF3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1F2933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9A6100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DCEAF8"/>
          <bgColor rgb="FF000000"/>
        </patternFill>
      </fill>
    </dxf>
    <dxf>
      <fill>
        <patternFill patternType="solid">
          <fgColor rgb="FFDFF3E4"/>
          <bgColor rgb="FF000000"/>
        </patternFill>
      </fill>
    </dxf>
    <dxf>
      <fill>
        <patternFill patternType="solid">
          <fgColor rgb="FFEEEEEE"/>
          <bgColor rgb="FF000000"/>
        </patternFill>
      </fill>
    </dxf>
    <dxf>
      <fill>
        <patternFill patternType="solid">
          <fgColor rgb="FFFFF1D6"/>
          <bgColor rgb="FF000000"/>
        </patternFill>
      </fill>
    </dxf>
    <dxf>
      <fill>
        <patternFill patternType="solid">
          <fgColor rgb="FF1E7B34"/>
          <bgColor rgb="FF000000"/>
        </patternFill>
      </fill>
    </dxf>
    <dxf>
      <fill>
        <patternFill patternType="solid">
          <fgColor rgb="FF1F4E8C"/>
          <bgColor rgb="FF000000"/>
        </patternFill>
      </fill>
    </dxf>
    <dxf>
      <fill>
        <patternFill patternType="solid">
          <fgColor rgb="FF52606D"/>
          <bgColor rgb="FF000000"/>
        </patternFill>
      </fill>
    </dxf>
    <dxf>
      <fill>
        <patternFill patternType="solid">
          <fgColor rgb="FF2F855A"/>
          <bgColor rgb="FF000000"/>
        </patternFill>
      </fill>
    </dxf>
    <dxf>
      <fill>
        <patternFill patternType="solid">
          <fgColor rgb="FF4A7FC1"/>
          <bgColor rgb="FF000000"/>
        </patternFill>
      </fill>
    </dxf>
    <dxf>
      <fill>
        <patternFill patternType="solid">
          <fgColor rgb="FF9B8EC4"/>
          <bgColor rgb="FF000000"/>
        </patternFill>
      </fill>
    </dxf>
    <dxf>
      <fill>
        <patternFill patternType="solid">
          <fgColor rgb="FFF2C14E"/>
          <bgColor rgb="FF000000"/>
        </patternFill>
      </fill>
    </dxf>
    <dxf>
      <fill>
        <patternFill patternType="solid">
          <fgColor rgb="FFC0392B"/>
          <bgColor rgb="FF000000"/>
        </patternFill>
      </fill>
    </dxf>
    <dxf>
      <fill>
        <patternFill patternType="solid">
          <fgColor rgb="FFD97706"/>
          <bgColor rgb="FF000000"/>
        </patternFill>
      </fill>
    </dxf>
    <dxf>
      <fill>
        <patternFill>
          <bgColor rgb="FFC0392B"/>
        </patternFill>
      </fill>
    </dxf>
    <dxf>
      <fill>
        <patternFill>
          <bgColor rgb="FF4A7FC1"/>
        </patternFill>
      </fill>
    </dxf>
    <dxf>
      <fill>
        <patternFill>
          <bgColor rgb="FFF2C14E"/>
        </patternFill>
      </fill>
    </dxf>
    <dxf>
      <fill>
        <patternFill>
          <bgColor rgb="FF9B8EC4"/>
        </patternFill>
      </fill>
    </dxf>
    <dxf>
      <font>
        <name val="Arial"/>
        <charset val="1"/>
        <family val="0"/>
        <b val="1"/>
        <color rgb="FF1E7B34"/>
      </font>
      <fill>
        <patternFill>
          <bgColor rgb="FFDFF3E4"/>
        </patternFill>
      </fill>
    </dxf>
    <dxf>
      <font>
        <name val="Arial"/>
        <charset val="1"/>
        <family val="0"/>
        <b val="1"/>
        <color rgb="FF1F4E8C"/>
      </font>
      <fill>
        <patternFill>
          <bgColor rgb="FFDCEAF8"/>
        </patternFill>
      </fill>
    </dxf>
    <dxf>
      <font>
        <name val="Arial"/>
        <charset val="1"/>
        <family val="0"/>
        <b val="1"/>
        <color rgb="FF9A6100"/>
      </font>
      <fill>
        <patternFill>
          <bgColor rgb="FFFFF1D6"/>
        </patternFill>
      </fill>
    </dxf>
    <dxf>
      <font>
        <name val="Arial"/>
        <charset val="1"/>
        <family val="0"/>
        <b val="1"/>
        <color rgb="FFA61B1B"/>
      </font>
      <fill>
        <patternFill>
          <bgColor rgb="FFFBDADA"/>
        </patternFill>
      </fill>
    </dxf>
    <dxf>
      <font>
        <name val="Arial"/>
        <charset val="1"/>
        <family val="0"/>
        <b val="1"/>
        <color rgb="FF52606D"/>
      </font>
      <fill>
        <patternFill>
          <bgColor rgb="FFEEEEEE"/>
        </patternFill>
      </fill>
    </dxf>
    <dxf>
      <font>
        <name val="Arial"/>
        <charset val="1"/>
        <family val="0"/>
        <b val="1"/>
        <color rgb="FF9A6100"/>
      </font>
    </dxf>
    <dxf>
      <fill>
        <patternFill>
          <bgColor rgb="FFD97706"/>
        </patternFill>
      </fill>
    </dxf>
    <dxf>
      <fill>
        <patternFill>
          <bgColor rgb="FF2F855A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E7B34"/>
      <rgbColor rgb="FF000080"/>
      <rgbColor rgb="FF9A6100"/>
      <rgbColor rgb="FF800080"/>
      <rgbColor rgb="FF008080"/>
      <rgbColor rgb="FFC0C0C0"/>
      <rgbColor rgb="FF808080"/>
      <rgbColor rgb="FF9999FF"/>
      <rgbColor rgb="FFC0392B"/>
      <rgbColor rgb="FFFFF1D6"/>
      <rgbColor rgb="FFDCEAF8"/>
      <rgbColor rgb="FF660066"/>
      <rgbColor rgb="FFFF8080"/>
      <rgbColor rgb="FF0066CC"/>
      <rgbColor rgb="FFD5DCE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EDF3"/>
      <rgbColor rgb="FFDFF3E4"/>
      <rgbColor rgb="FFEEEEEE"/>
      <rgbColor rgb="FF99CCFF"/>
      <rgbColor rgb="FFFF99CC"/>
      <rgbColor rgb="FFCC99FF"/>
      <rgbColor rgb="FFFBDADA"/>
      <rgbColor rgb="FF4A7FC1"/>
      <rgbColor rgb="FF33CCCC"/>
      <rgbColor rgb="FF99CC00"/>
      <rgbColor rgb="FFF2C14E"/>
      <rgbColor rgb="FFFF9900"/>
      <rgbColor rgb="FFD97706"/>
      <rgbColor rgb="FF52606D"/>
      <rgbColor rgb="FF9B8EC4"/>
      <rgbColor rgb="FF243B53"/>
      <rgbColor rgb="FF2F855A"/>
      <rgbColor rgb="FF003300"/>
      <rgbColor rgb="FF333300"/>
      <rgbColor rgb="FFA61B1B"/>
      <rgbColor rgb="FF993366"/>
      <rgbColor rgb="FF1F4E8C"/>
      <rgbColor rgb="FF1F29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R11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9" topLeftCell="C10" activePane="bottomRight" state="frozen"/>
      <selection pane="topLeft" activeCell="A1" activeCellId="0" sqref="A1"/>
      <selection pane="topRight" activeCell="C1" activeCellId="0" sqref="C1"/>
      <selection pane="bottomLeft" activeCell="A10" activeCellId="0" sqref="A10"/>
      <selection pane="bottomRight" activeCell="R13" activeCellId="0" sqref="R13"/>
    </sheetView>
  </sheetViews>
  <sheetFormatPr defaultColWidth="8.714843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44"/>
    <col collapsed="false" customWidth="true" hidden="false" outlineLevel="0" max="3" min="3" style="0" width="22"/>
    <col collapsed="false" customWidth="true" hidden="false" outlineLevel="0" max="5" min="4" style="0" width="12"/>
    <col collapsed="false" customWidth="true" hidden="false" outlineLevel="0" max="6" min="6" style="0" width="9"/>
    <col collapsed="false" customWidth="true" hidden="false" outlineLevel="0" max="7" min="7" style="0" width="11"/>
    <col collapsed="false" customWidth="true" hidden="false" outlineLevel="0" max="16" min="8" style="0" width="8"/>
    <col collapsed="false" customWidth="true" hidden="false" outlineLevel="0" max="17" min="17" style="0" width="16"/>
    <col collapsed="false" customWidth="true" hidden="false" outlineLevel="0" max="18" min="18" style="0" width="52"/>
  </cols>
  <sheetData>
    <row r="1" customFormat="false" ht="20.25" hidden="false" customHeight="tru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.75" hidden="false" customHeight="true" outlineLevel="0" collapsed="false">
      <c r="A4" s="3" t="s">
        <v>2</v>
      </c>
      <c r="C4" s="4" t="n">
        <v>46322</v>
      </c>
      <c r="E4" s="3" t="s">
        <v>3</v>
      </c>
      <c r="G4" s="5" t="n">
        <f aca="false">C5-C4</f>
        <v>42</v>
      </c>
      <c r="K4" s="6" t="s">
        <v>4</v>
      </c>
      <c r="N4" s="6" t="s">
        <v>5</v>
      </c>
    </row>
    <row r="5" customFormat="false" ht="15" hidden="false" customHeight="false" outlineLevel="0" collapsed="false">
      <c r="A5" s="3" t="s">
        <v>6</v>
      </c>
      <c r="C5" s="4" t="n">
        <v>46364</v>
      </c>
      <c r="E5" s="3" t="s">
        <v>7</v>
      </c>
      <c r="G5" s="7" t="str">
        <f aca="false">"완료 "&amp;COUNTIF(G10:G110,"완료")&amp;" · 진행 "&amp;COUNTIF(G10:G110,"진행 중")&amp;" · 예정 "&amp;COUNTIF(G10:G110,"예정")&amp;" · 확인 필요 "&amp;COUNTIF(G10:G110,"확인 필요")</f>
        <v>완료 3 · 진행 11 · 예정 41 · 확인 필요 36</v>
      </c>
      <c r="K5" s="8" t="s">
        <v>8</v>
      </c>
      <c r="L5" s="9" t="s">
        <v>9</v>
      </c>
      <c r="N5" s="10"/>
      <c r="O5" s="9" t="s">
        <v>10</v>
      </c>
      <c r="P5" s="11"/>
      <c r="Q5" s="9" t="s">
        <v>11</v>
      </c>
    </row>
    <row r="6" customFormat="false" ht="15" hidden="false" customHeight="false" outlineLevel="0" collapsed="false">
      <c r="A6" s="3" t="s">
        <v>12</v>
      </c>
      <c r="C6" s="4" t="n">
        <v>46359</v>
      </c>
      <c r="E6" s="3" t="s">
        <v>13</v>
      </c>
      <c r="G6" s="7" t="str">
        <f aca="false">COUNTIF(C10:C110,"확인 필요")&amp;"건"</f>
        <v>2건</v>
      </c>
      <c r="K6" s="11" t="s">
        <v>8</v>
      </c>
      <c r="L6" s="9" t="s">
        <v>14</v>
      </c>
      <c r="N6" s="12"/>
      <c r="O6" s="9" t="s">
        <v>15</v>
      </c>
    </row>
    <row r="7" customFormat="false" ht="15" hidden="false" customHeight="false" outlineLevel="0" collapsed="false">
      <c r="A7" s="3" t="s">
        <v>16</v>
      </c>
      <c r="C7" s="4" t="n">
        <v>46378</v>
      </c>
      <c r="E7" s="3" t="s">
        <v>17</v>
      </c>
      <c r="G7" s="7" t="str">
        <f aca="false">SUMPRODUCT((A10:A110&lt;&gt;"")*(B10:B110&lt;&gt;"")*(D10:D110="")*(E10:E110=""))&amp;"건"</f>
        <v>5건</v>
      </c>
      <c r="K7" s="13" t="s">
        <v>8</v>
      </c>
      <c r="L7" s="9" t="s">
        <v>18</v>
      </c>
      <c r="N7" s="14"/>
      <c r="O7" s="9" t="s">
        <v>19</v>
      </c>
    </row>
    <row r="9" customFormat="false" ht="25.5" hidden="false" customHeight="true" outlineLevel="0" collapsed="false">
      <c r="A9" s="15" t="s">
        <v>20</v>
      </c>
      <c r="B9" s="15" t="s">
        <v>21</v>
      </c>
      <c r="C9" s="15" t="s">
        <v>22</v>
      </c>
      <c r="D9" s="15" t="s">
        <v>23</v>
      </c>
      <c r="E9" s="15" t="s">
        <v>24</v>
      </c>
      <c r="F9" s="15" t="s">
        <v>25</v>
      </c>
      <c r="G9" s="15" t="s">
        <v>26</v>
      </c>
      <c r="H9" s="16" t="n">
        <v>46321</v>
      </c>
      <c r="I9" s="16" t="n">
        <v>46328</v>
      </c>
      <c r="J9" s="16" t="n">
        <v>46335</v>
      </c>
      <c r="K9" s="16" t="n">
        <v>46342</v>
      </c>
      <c r="L9" s="16" t="n">
        <v>46349</v>
      </c>
      <c r="M9" s="16" t="n">
        <v>46356</v>
      </c>
      <c r="N9" s="16" t="n">
        <v>46363</v>
      </c>
      <c r="O9" s="16" t="n">
        <v>46370</v>
      </c>
      <c r="P9" s="16" t="n">
        <v>46377</v>
      </c>
      <c r="Q9" s="15" t="s">
        <v>27</v>
      </c>
      <c r="R9" s="15" t="s">
        <v>28</v>
      </c>
    </row>
    <row r="10" customFormat="false" ht="19.5" hidden="false" customHeight="true" outlineLevel="0" collapsed="false">
      <c r="A10" s="17" t="s">
        <v>29</v>
      </c>
      <c r="B10" s="17"/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</row>
    <row r="11" customFormat="false" ht="30" hidden="false" customHeight="true" outlineLevel="0" collapsed="false">
      <c r="A11" s="18" t="s">
        <v>30</v>
      </c>
      <c r="B11" s="19" t="s">
        <v>31</v>
      </c>
      <c r="C11" s="19" t="s">
        <v>32</v>
      </c>
      <c r="D11" s="20"/>
      <c r="E11" s="20"/>
      <c r="F11" s="18" t="s">
        <v>10</v>
      </c>
      <c r="G11" s="18" t="s">
        <v>33</v>
      </c>
      <c r="H11" s="21" t="str">
        <f aca="false">IF(COUNT($D11:$E11)=0,"",IF(AND(MIN($D11:$E11)&lt;=H$9+6,MAX($D11:$E11)&gt;=H$9),1,""))</f>
        <v/>
      </c>
      <c r="I11" s="21" t="str">
        <f aca="false">IF(COUNT($D11:$E11)=0,"",IF(AND(MIN($D11:$E11)&lt;=I$9+6,MAX($D11:$E11)&gt;=I$9),1,""))</f>
        <v/>
      </c>
      <c r="J11" s="21" t="str">
        <f aca="false">IF(COUNT($D11:$E11)=0,"",IF(AND(MIN($D11:$E11)&lt;=J$9+6,MAX($D11:$E11)&gt;=J$9),1,""))</f>
        <v/>
      </c>
      <c r="K11" s="21" t="str">
        <f aca="false">IF(COUNT($D11:$E11)=0,"",IF(AND(MIN($D11:$E11)&lt;=K$9+6,MAX($D11:$E11)&gt;=K$9),1,""))</f>
        <v/>
      </c>
      <c r="L11" s="21" t="str">
        <f aca="false">IF(COUNT($D11:$E11)=0,"",IF(AND(MIN($D11:$E11)&lt;=L$9+6,MAX($D11:$E11)&gt;=L$9),1,""))</f>
        <v/>
      </c>
      <c r="M11" s="21" t="str">
        <f aca="false">IF(COUNT($D11:$E11)=0,"",IF(AND(MIN($D11:$E11)&lt;=M$9+6,MAX($D11:$E11)&gt;=M$9),1,""))</f>
        <v/>
      </c>
      <c r="N11" s="21" t="str">
        <f aca="false">IF(COUNT($D11:$E11)=0,"",IF(AND(MIN($D11:$E11)&lt;=N$9+6,MAX($D11:$E11)&gt;=N$9),1,""))</f>
        <v/>
      </c>
      <c r="O11" s="21" t="str">
        <f aca="false">IF(COUNT($D11:$E11)=0,"",IF(AND(MIN($D11:$E11)&lt;=O$9+6,MAX($D11:$E11)&gt;=O$9),1,""))</f>
        <v/>
      </c>
      <c r="P11" s="21" t="str">
        <f aca="false">IF(COUNT($D11:$E11)=0,"",IF(AND(MIN($D11:$E11)&lt;=P$9+6,MAX($D11:$E11)&gt;=P$9),1,""))</f>
        <v/>
      </c>
      <c r="Q11" s="22" t="s">
        <v>34</v>
      </c>
      <c r="R11" s="19" t="s">
        <v>35</v>
      </c>
    </row>
    <row r="12" customFormat="false" ht="30" hidden="false" customHeight="true" outlineLevel="0" collapsed="false">
      <c r="A12" s="18" t="s">
        <v>30</v>
      </c>
      <c r="B12" s="19" t="s">
        <v>36</v>
      </c>
      <c r="C12" s="19" t="s">
        <v>37</v>
      </c>
      <c r="D12" s="20"/>
      <c r="E12" s="20"/>
      <c r="F12" s="18" t="s">
        <v>10</v>
      </c>
      <c r="G12" s="18" t="s">
        <v>33</v>
      </c>
      <c r="H12" s="21" t="str">
        <f aca="false">IF(COUNT($D12:$E12)=0,"",IF(AND(MIN($D12:$E12)&lt;=H$9+6,MAX($D12:$E12)&gt;=H$9),1,""))</f>
        <v/>
      </c>
      <c r="I12" s="21" t="str">
        <f aca="false">IF(COUNT($D12:$E12)=0,"",IF(AND(MIN($D12:$E12)&lt;=I$9+6,MAX($D12:$E12)&gt;=I$9),1,""))</f>
        <v/>
      </c>
      <c r="J12" s="21" t="str">
        <f aca="false">IF(COUNT($D12:$E12)=0,"",IF(AND(MIN($D12:$E12)&lt;=J$9+6,MAX($D12:$E12)&gt;=J$9),1,""))</f>
        <v/>
      </c>
      <c r="K12" s="21" t="str">
        <f aca="false">IF(COUNT($D12:$E12)=0,"",IF(AND(MIN($D12:$E12)&lt;=K$9+6,MAX($D12:$E12)&gt;=K$9),1,""))</f>
        <v/>
      </c>
      <c r="L12" s="21" t="str">
        <f aca="false">IF(COUNT($D12:$E12)=0,"",IF(AND(MIN($D12:$E12)&lt;=L$9+6,MAX($D12:$E12)&gt;=L$9),1,""))</f>
        <v/>
      </c>
      <c r="M12" s="21" t="str">
        <f aca="false">IF(COUNT($D12:$E12)=0,"",IF(AND(MIN($D12:$E12)&lt;=M$9+6,MAX($D12:$E12)&gt;=M$9),1,""))</f>
        <v/>
      </c>
      <c r="N12" s="21" t="str">
        <f aca="false">IF(COUNT($D12:$E12)=0,"",IF(AND(MIN($D12:$E12)&lt;=N$9+6,MAX($D12:$E12)&gt;=N$9),1,""))</f>
        <v/>
      </c>
      <c r="O12" s="21" t="str">
        <f aca="false">IF(COUNT($D12:$E12)=0,"",IF(AND(MIN($D12:$E12)&lt;=O$9+6,MAX($D12:$E12)&gt;=O$9),1,""))</f>
        <v/>
      </c>
      <c r="P12" s="21" t="str">
        <f aca="false">IF(COUNT($D12:$E12)=0,"",IF(AND(MIN($D12:$E12)&lt;=P$9+6,MAX($D12:$E12)&gt;=P$9),1,""))</f>
        <v/>
      </c>
      <c r="Q12" s="22" t="s">
        <v>38</v>
      </c>
      <c r="R12" s="19" t="s">
        <v>39</v>
      </c>
    </row>
    <row r="13" customFormat="false" ht="30" hidden="false" customHeight="true" outlineLevel="0" collapsed="false">
      <c r="A13" s="18" t="s">
        <v>30</v>
      </c>
      <c r="B13" s="19" t="s">
        <v>40</v>
      </c>
      <c r="C13" s="19" t="s">
        <v>41</v>
      </c>
      <c r="D13" s="20" t="n">
        <v>46336</v>
      </c>
      <c r="E13" s="20"/>
      <c r="F13" s="18" t="s">
        <v>10</v>
      </c>
      <c r="G13" s="18" t="s">
        <v>42</v>
      </c>
      <c r="H13" s="21" t="str">
        <f aca="false">IF(COUNT($D13:$E13)=0,"",IF(AND(MIN($D13:$E13)&lt;=H$9+6,MAX($D13:$E13)&gt;=H$9),1,""))</f>
        <v/>
      </c>
      <c r="I13" s="21" t="str">
        <f aca="false">IF(COUNT($D13:$E13)=0,"",IF(AND(MIN($D13:$E13)&lt;=I$9+6,MAX($D13:$E13)&gt;=I$9),1,""))</f>
        <v/>
      </c>
      <c r="J13" s="21" t="n">
        <f aca="false">IF(COUNT($D13:$E13)=0,"",IF(AND(MIN($D13:$E13)&lt;=J$9+6,MAX($D13:$E13)&gt;=J$9),1,""))</f>
        <v>1</v>
      </c>
      <c r="K13" s="21" t="str">
        <f aca="false">IF(COUNT($D13:$E13)=0,"",IF(AND(MIN($D13:$E13)&lt;=K$9+6,MAX($D13:$E13)&gt;=K$9),1,""))</f>
        <v/>
      </c>
      <c r="L13" s="21" t="str">
        <f aca="false">IF(COUNT($D13:$E13)=0,"",IF(AND(MIN($D13:$E13)&lt;=L$9+6,MAX($D13:$E13)&gt;=L$9),1,""))</f>
        <v/>
      </c>
      <c r="M13" s="21" t="str">
        <f aca="false">IF(COUNT($D13:$E13)=0,"",IF(AND(MIN($D13:$E13)&lt;=M$9+6,MAX($D13:$E13)&gt;=M$9),1,""))</f>
        <v/>
      </c>
      <c r="N13" s="21" t="str">
        <f aca="false">IF(COUNT($D13:$E13)=0,"",IF(AND(MIN($D13:$E13)&lt;=N$9+6,MAX($D13:$E13)&gt;=N$9),1,""))</f>
        <v/>
      </c>
      <c r="O13" s="21" t="str">
        <f aca="false">IF(COUNT($D13:$E13)=0,"",IF(AND(MIN($D13:$E13)&lt;=O$9+6,MAX($D13:$E13)&gt;=O$9),1,""))</f>
        <v/>
      </c>
      <c r="P13" s="21" t="str">
        <f aca="false">IF(COUNT($D13:$E13)=0,"",IF(AND(MIN($D13:$E13)&lt;=P$9+6,MAX($D13:$E13)&gt;=P$9),1,""))</f>
        <v/>
      </c>
      <c r="Q13" s="22" t="s">
        <v>43</v>
      </c>
      <c r="R13" s="19" t="s">
        <v>44</v>
      </c>
    </row>
    <row r="14" customFormat="false" ht="30" hidden="false" customHeight="true" outlineLevel="0" collapsed="false">
      <c r="A14" s="18" t="s">
        <v>30</v>
      </c>
      <c r="B14" s="19" t="s">
        <v>45</v>
      </c>
      <c r="C14" s="19" t="s">
        <v>46</v>
      </c>
      <c r="D14" s="20" t="n">
        <v>46359</v>
      </c>
      <c r="E14" s="20" t="n">
        <v>46359</v>
      </c>
      <c r="F14" s="18" t="s">
        <v>11</v>
      </c>
      <c r="G14" s="18" t="s">
        <v>47</v>
      </c>
      <c r="H14" s="21" t="str">
        <f aca="false">IF(COUNT($D14:$E14)=0,"",IF(AND(MIN($D14:$E14)&lt;=H$9+6,MAX($D14:$E14)&gt;=H$9),1,""))</f>
        <v/>
      </c>
      <c r="I14" s="21" t="str">
        <f aca="false">IF(COUNT($D14:$E14)=0,"",IF(AND(MIN($D14:$E14)&lt;=I$9+6,MAX($D14:$E14)&gt;=I$9),1,""))</f>
        <v/>
      </c>
      <c r="J14" s="21" t="str">
        <f aca="false">IF(COUNT($D14:$E14)=0,"",IF(AND(MIN($D14:$E14)&lt;=J$9+6,MAX($D14:$E14)&gt;=J$9),1,""))</f>
        <v/>
      </c>
      <c r="K14" s="21" t="str">
        <f aca="false">IF(COUNT($D14:$E14)=0,"",IF(AND(MIN($D14:$E14)&lt;=K$9+6,MAX($D14:$E14)&gt;=K$9),1,""))</f>
        <v/>
      </c>
      <c r="L14" s="21" t="str">
        <f aca="false">IF(COUNT($D14:$E14)=0,"",IF(AND(MIN($D14:$E14)&lt;=L$9+6,MAX($D14:$E14)&gt;=L$9),1,""))</f>
        <v/>
      </c>
      <c r="M14" s="21" t="n">
        <f aca="false">IF(COUNT($D14:$E14)=0,"",IF(AND(MIN($D14:$E14)&lt;=M$9+6,MAX($D14:$E14)&gt;=M$9),1,""))</f>
        <v>1</v>
      </c>
      <c r="N14" s="21" t="str">
        <f aca="false">IF(COUNT($D14:$E14)=0,"",IF(AND(MIN($D14:$E14)&lt;=N$9+6,MAX($D14:$E14)&gt;=N$9),1,""))</f>
        <v/>
      </c>
      <c r="O14" s="21" t="str">
        <f aca="false">IF(COUNT($D14:$E14)=0,"",IF(AND(MIN($D14:$E14)&lt;=O$9+6,MAX($D14:$E14)&gt;=O$9),1,""))</f>
        <v/>
      </c>
      <c r="P14" s="21" t="str">
        <f aca="false">IF(COUNT($D14:$E14)=0,"",IF(AND(MIN($D14:$E14)&lt;=P$9+6,MAX($D14:$E14)&gt;=P$9),1,""))</f>
        <v/>
      </c>
      <c r="Q14" s="22" t="s">
        <v>48</v>
      </c>
      <c r="R14" s="19" t="s">
        <v>49</v>
      </c>
    </row>
    <row r="15" customFormat="false" ht="30" hidden="false" customHeight="true" outlineLevel="0" collapsed="false">
      <c r="A15" s="18" t="s">
        <v>30</v>
      </c>
      <c r="B15" s="19" t="s">
        <v>50</v>
      </c>
      <c r="C15" s="19" t="s">
        <v>51</v>
      </c>
      <c r="D15" s="20" t="n">
        <v>46363</v>
      </c>
      <c r="E15" s="20" t="n">
        <v>46363</v>
      </c>
      <c r="F15" s="18" t="s">
        <v>15</v>
      </c>
      <c r="G15" s="18" t="s">
        <v>47</v>
      </c>
      <c r="H15" s="21" t="str">
        <f aca="false">IF(COUNT($D15:$E15)=0,"",IF(AND(MIN($D15:$E15)&lt;=H$9+6,MAX($D15:$E15)&gt;=H$9),1,""))</f>
        <v/>
      </c>
      <c r="I15" s="21" t="str">
        <f aca="false">IF(COUNT($D15:$E15)=0,"",IF(AND(MIN($D15:$E15)&lt;=I$9+6,MAX($D15:$E15)&gt;=I$9),1,""))</f>
        <v/>
      </c>
      <c r="J15" s="21" t="str">
        <f aca="false">IF(COUNT($D15:$E15)=0,"",IF(AND(MIN($D15:$E15)&lt;=J$9+6,MAX($D15:$E15)&gt;=J$9),1,""))</f>
        <v/>
      </c>
      <c r="K15" s="21" t="str">
        <f aca="false">IF(COUNT($D15:$E15)=0,"",IF(AND(MIN($D15:$E15)&lt;=K$9+6,MAX($D15:$E15)&gt;=K$9),1,""))</f>
        <v/>
      </c>
      <c r="L15" s="21" t="str">
        <f aca="false">IF(COUNT($D15:$E15)=0,"",IF(AND(MIN($D15:$E15)&lt;=L$9+6,MAX($D15:$E15)&gt;=L$9),1,""))</f>
        <v/>
      </c>
      <c r="M15" s="21" t="str">
        <f aca="false">IF(COUNT($D15:$E15)=0,"",IF(AND(MIN($D15:$E15)&lt;=M$9+6,MAX($D15:$E15)&gt;=M$9),1,""))</f>
        <v/>
      </c>
      <c r="N15" s="21" t="n">
        <f aca="false">IF(COUNT($D15:$E15)=0,"",IF(AND(MIN($D15:$E15)&lt;=N$9+6,MAX($D15:$E15)&gt;=N$9),1,""))</f>
        <v>1</v>
      </c>
      <c r="O15" s="21" t="str">
        <f aca="false">IF(COUNT($D15:$E15)=0,"",IF(AND(MIN($D15:$E15)&lt;=O$9+6,MAX($D15:$E15)&gt;=O$9),1,""))</f>
        <v/>
      </c>
      <c r="P15" s="21" t="str">
        <f aca="false">IF(COUNT($D15:$E15)=0,"",IF(AND(MIN($D15:$E15)&lt;=P$9+6,MAX($D15:$E15)&gt;=P$9),1,""))</f>
        <v/>
      </c>
      <c r="Q15" s="22" t="s">
        <v>52</v>
      </c>
      <c r="R15" s="19" t="s">
        <v>53</v>
      </c>
    </row>
    <row r="16" customFormat="false" ht="30" hidden="false" customHeight="true" outlineLevel="0" collapsed="false">
      <c r="A16" s="18" t="s">
        <v>54</v>
      </c>
      <c r="B16" s="19" t="s">
        <v>55</v>
      </c>
      <c r="C16" s="19" t="s">
        <v>56</v>
      </c>
      <c r="D16" s="20" t="n">
        <v>46364</v>
      </c>
      <c r="E16" s="20" t="n">
        <v>46364</v>
      </c>
      <c r="F16" s="18" t="s">
        <v>11</v>
      </c>
      <c r="G16" s="18" t="s">
        <v>47</v>
      </c>
      <c r="H16" s="21" t="str">
        <f aca="false">IF(COUNT($D16:$E16)=0,"",IF(AND(MIN($D16:$E16)&lt;=H$9+6,MAX($D16:$E16)&gt;=H$9),1,""))</f>
        <v/>
      </c>
      <c r="I16" s="21" t="str">
        <f aca="false">IF(COUNT($D16:$E16)=0,"",IF(AND(MIN($D16:$E16)&lt;=I$9+6,MAX($D16:$E16)&gt;=I$9),1,""))</f>
        <v/>
      </c>
      <c r="J16" s="21" t="str">
        <f aca="false">IF(COUNT($D16:$E16)=0,"",IF(AND(MIN($D16:$E16)&lt;=J$9+6,MAX($D16:$E16)&gt;=J$9),1,""))</f>
        <v/>
      </c>
      <c r="K16" s="21" t="str">
        <f aca="false">IF(COUNT($D16:$E16)=0,"",IF(AND(MIN($D16:$E16)&lt;=K$9+6,MAX($D16:$E16)&gt;=K$9),1,""))</f>
        <v/>
      </c>
      <c r="L16" s="21" t="str">
        <f aca="false">IF(COUNT($D16:$E16)=0,"",IF(AND(MIN($D16:$E16)&lt;=L$9+6,MAX($D16:$E16)&gt;=L$9),1,""))</f>
        <v/>
      </c>
      <c r="M16" s="21" t="str">
        <f aca="false">IF(COUNT($D16:$E16)=0,"",IF(AND(MIN($D16:$E16)&lt;=M$9+6,MAX($D16:$E16)&gt;=M$9),1,""))</f>
        <v/>
      </c>
      <c r="N16" s="21" t="n">
        <f aca="false">IF(COUNT($D16:$E16)=0,"",IF(AND(MIN($D16:$E16)&lt;=N$9+6,MAX($D16:$E16)&gt;=N$9),1,""))</f>
        <v>1</v>
      </c>
      <c r="O16" s="21" t="str">
        <f aca="false">IF(COUNT($D16:$E16)=0,"",IF(AND(MIN($D16:$E16)&lt;=O$9+6,MAX($D16:$E16)&gt;=O$9),1,""))</f>
        <v/>
      </c>
      <c r="P16" s="21" t="str">
        <f aca="false">IF(COUNT($D16:$E16)=0,"",IF(AND(MIN($D16:$E16)&lt;=P$9+6,MAX($D16:$E16)&gt;=P$9),1,""))</f>
        <v/>
      </c>
      <c r="Q16" s="22" t="s">
        <v>57</v>
      </c>
      <c r="R16" s="19" t="s">
        <v>58</v>
      </c>
    </row>
    <row r="17" customFormat="false" ht="30" hidden="false" customHeight="true" outlineLevel="0" collapsed="false">
      <c r="A17" s="18" t="s">
        <v>30</v>
      </c>
      <c r="B17" s="19" t="s">
        <v>59</v>
      </c>
      <c r="C17" s="19" t="s">
        <v>46</v>
      </c>
      <c r="D17" s="20" t="n">
        <v>46371</v>
      </c>
      <c r="E17" s="20" t="n">
        <v>46371</v>
      </c>
      <c r="F17" s="18" t="s">
        <v>15</v>
      </c>
      <c r="G17" s="18" t="s">
        <v>47</v>
      </c>
      <c r="H17" s="21" t="str">
        <f aca="false">IF(COUNT($D17:$E17)=0,"",IF(AND(MIN($D17:$E17)&lt;=H$9+6,MAX($D17:$E17)&gt;=H$9),1,""))</f>
        <v/>
      </c>
      <c r="I17" s="21" t="str">
        <f aca="false">IF(COUNT($D17:$E17)=0,"",IF(AND(MIN($D17:$E17)&lt;=I$9+6,MAX($D17:$E17)&gt;=I$9),1,""))</f>
        <v/>
      </c>
      <c r="J17" s="21" t="str">
        <f aca="false">IF(COUNT($D17:$E17)=0,"",IF(AND(MIN($D17:$E17)&lt;=J$9+6,MAX($D17:$E17)&gt;=J$9),1,""))</f>
        <v/>
      </c>
      <c r="K17" s="21" t="str">
        <f aca="false">IF(COUNT($D17:$E17)=0,"",IF(AND(MIN($D17:$E17)&lt;=K$9+6,MAX($D17:$E17)&gt;=K$9),1,""))</f>
        <v/>
      </c>
      <c r="L17" s="21" t="str">
        <f aca="false">IF(COUNT($D17:$E17)=0,"",IF(AND(MIN($D17:$E17)&lt;=L$9+6,MAX($D17:$E17)&gt;=L$9),1,""))</f>
        <v/>
      </c>
      <c r="M17" s="21" t="str">
        <f aca="false">IF(COUNT($D17:$E17)=0,"",IF(AND(MIN($D17:$E17)&lt;=M$9+6,MAX($D17:$E17)&gt;=M$9),1,""))</f>
        <v/>
      </c>
      <c r="N17" s="21" t="str">
        <f aca="false">IF(COUNT($D17:$E17)=0,"",IF(AND(MIN($D17:$E17)&lt;=N$9+6,MAX($D17:$E17)&gt;=N$9),1,""))</f>
        <v/>
      </c>
      <c r="O17" s="21" t="n">
        <f aca="false">IF(COUNT($D17:$E17)=0,"",IF(AND(MIN($D17:$E17)&lt;=O$9+6,MAX($D17:$E17)&gt;=O$9),1,""))</f>
        <v>1</v>
      </c>
      <c r="P17" s="21" t="str">
        <f aca="false">IF(COUNT($D17:$E17)=0,"",IF(AND(MIN($D17:$E17)&lt;=P$9+6,MAX($D17:$E17)&gt;=P$9),1,""))</f>
        <v/>
      </c>
      <c r="Q17" s="22" t="s">
        <v>38</v>
      </c>
      <c r="R17" s="19" t="s">
        <v>60</v>
      </c>
    </row>
    <row r="18" customFormat="false" ht="30" hidden="false" customHeight="true" outlineLevel="0" collapsed="false">
      <c r="A18" s="18" t="s">
        <v>30</v>
      </c>
      <c r="B18" s="19" t="s">
        <v>61</v>
      </c>
      <c r="C18" s="19" t="s">
        <v>62</v>
      </c>
      <c r="D18" s="20" t="n">
        <v>46349</v>
      </c>
      <c r="E18" s="20" t="n">
        <v>46357</v>
      </c>
      <c r="F18" s="18" t="s">
        <v>15</v>
      </c>
      <c r="G18" s="18" t="s">
        <v>47</v>
      </c>
      <c r="H18" s="21" t="str">
        <f aca="false">IF(COUNT($D18:$E18)=0,"",IF(AND(MIN($D18:$E18)&lt;=H$9+6,MAX($D18:$E18)&gt;=H$9),1,""))</f>
        <v/>
      </c>
      <c r="I18" s="21" t="str">
        <f aca="false">IF(COUNT($D18:$E18)=0,"",IF(AND(MIN($D18:$E18)&lt;=I$9+6,MAX($D18:$E18)&gt;=I$9),1,""))</f>
        <v/>
      </c>
      <c r="J18" s="21" t="str">
        <f aca="false">IF(COUNT($D18:$E18)=0,"",IF(AND(MIN($D18:$E18)&lt;=J$9+6,MAX($D18:$E18)&gt;=J$9),1,""))</f>
        <v/>
      </c>
      <c r="K18" s="21" t="str">
        <f aca="false">IF(COUNT($D18:$E18)=0,"",IF(AND(MIN($D18:$E18)&lt;=K$9+6,MAX($D18:$E18)&gt;=K$9),1,""))</f>
        <v/>
      </c>
      <c r="L18" s="21" t="n">
        <f aca="false">IF(COUNT($D18:$E18)=0,"",IF(AND(MIN($D18:$E18)&lt;=L$9+6,MAX($D18:$E18)&gt;=L$9),1,""))</f>
        <v>1</v>
      </c>
      <c r="M18" s="21" t="n">
        <f aca="false">IF(COUNT($D18:$E18)=0,"",IF(AND(MIN($D18:$E18)&lt;=M$9+6,MAX($D18:$E18)&gt;=M$9),1,""))</f>
        <v>1</v>
      </c>
      <c r="N18" s="21" t="str">
        <f aca="false">IF(COUNT($D18:$E18)=0,"",IF(AND(MIN($D18:$E18)&lt;=N$9+6,MAX($D18:$E18)&gt;=N$9),1,""))</f>
        <v/>
      </c>
      <c r="O18" s="21" t="str">
        <f aca="false">IF(COUNT($D18:$E18)=0,"",IF(AND(MIN($D18:$E18)&lt;=O$9+6,MAX($D18:$E18)&gt;=O$9),1,""))</f>
        <v/>
      </c>
      <c r="P18" s="21" t="str">
        <f aca="false">IF(COUNT($D18:$E18)=0,"",IF(AND(MIN($D18:$E18)&lt;=P$9+6,MAX($D18:$E18)&gt;=P$9),1,""))</f>
        <v/>
      </c>
      <c r="Q18" s="22" t="s">
        <v>63</v>
      </c>
      <c r="R18" s="19" t="s">
        <v>64</v>
      </c>
    </row>
    <row r="19" customFormat="false" ht="30" hidden="false" customHeight="true" outlineLevel="0" collapsed="false">
      <c r="A19" s="18" t="s">
        <v>54</v>
      </c>
      <c r="B19" s="19" t="s">
        <v>65</v>
      </c>
      <c r="C19" s="19" t="s">
        <v>56</v>
      </c>
      <c r="D19" s="20" t="n">
        <v>46378</v>
      </c>
      <c r="E19" s="20" t="n">
        <v>46378</v>
      </c>
      <c r="F19" s="18" t="s">
        <v>11</v>
      </c>
      <c r="G19" s="18" t="s">
        <v>66</v>
      </c>
      <c r="H19" s="21" t="str">
        <f aca="false">IF(COUNT($D19:$E19)=0,"",IF(AND(MIN($D19:$E19)&lt;=H$9+6,MAX($D19:$E19)&gt;=H$9),1,""))</f>
        <v/>
      </c>
      <c r="I19" s="21" t="str">
        <f aca="false">IF(COUNT($D19:$E19)=0,"",IF(AND(MIN($D19:$E19)&lt;=I$9+6,MAX($D19:$E19)&gt;=I$9),1,""))</f>
        <v/>
      </c>
      <c r="J19" s="21" t="str">
        <f aca="false">IF(COUNT($D19:$E19)=0,"",IF(AND(MIN($D19:$E19)&lt;=J$9+6,MAX($D19:$E19)&gt;=J$9),1,""))</f>
        <v/>
      </c>
      <c r="K19" s="21" t="str">
        <f aca="false">IF(COUNT($D19:$E19)=0,"",IF(AND(MIN($D19:$E19)&lt;=K$9+6,MAX($D19:$E19)&gt;=K$9),1,""))</f>
        <v/>
      </c>
      <c r="L19" s="21" t="str">
        <f aca="false">IF(COUNT($D19:$E19)=0,"",IF(AND(MIN($D19:$E19)&lt;=L$9+6,MAX($D19:$E19)&gt;=L$9),1,""))</f>
        <v/>
      </c>
      <c r="M19" s="21" t="str">
        <f aca="false">IF(COUNT($D19:$E19)=0,"",IF(AND(MIN($D19:$E19)&lt;=M$9+6,MAX($D19:$E19)&gt;=M$9),1,""))</f>
        <v/>
      </c>
      <c r="N19" s="21" t="str">
        <f aca="false">IF(COUNT($D19:$E19)=0,"",IF(AND(MIN($D19:$E19)&lt;=N$9+6,MAX($D19:$E19)&gt;=N$9),1,""))</f>
        <v/>
      </c>
      <c r="O19" s="21" t="str">
        <f aca="false">IF(COUNT($D19:$E19)=0,"",IF(AND(MIN($D19:$E19)&lt;=O$9+6,MAX($D19:$E19)&gt;=O$9),1,""))</f>
        <v/>
      </c>
      <c r="P19" s="21" t="n">
        <f aca="false">IF(COUNT($D19:$E19)=0,"",IF(AND(MIN($D19:$E19)&lt;=P$9+6,MAX($D19:$E19)&gt;=P$9),1,""))</f>
        <v>1</v>
      </c>
      <c r="Q19" s="22" t="s">
        <v>38</v>
      </c>
      <c r="R19" s="19" t="s">
        <v>67</v>
      </c>
    </row>
    <row r="20" customFormat="false" ht="19.5" hidden="false" customHeight="true" outlineLevel="0" collapsed="false">
      <c r="A20" s="17" t="s">
        <v>68</v>
      </c>
      <c r="B20" s="17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</row>
    <row r="21" customFormat="false" ht="30" hidden="false" customHeight="true" outlineLevel="0" collapsed="false">
      <c r="A21" s="18" t="s">
        <v>69</v>
      </c>
      <c r="B21" s="19" t="s">
        <v>70</v>
      </c>
      <c r="C21" s="19" t="s">
        <v>71</v>
      </c>
      <c r="D21" s="20" t="n">
        <v>46322</v>
      </c>
      <c r="E21" s="20" t="n">
        <v>46322</v>
      </c>
      <c r="F21" s="18" t="s">
        <v>10</v>
      </c>
      <c r="G21" s="18" t="s">
        <v>47</v>
      </c>
      <c r="H21" s="21" t="n">
        <f aca="false">IF(COUNT($D21:$E21)=0,"",IF(AND(MIN($D21:$E21)&lt;=H$9+6,MAX($D21:$E21)&gt;=H$9),1,""))</f>
        <v>1</v>
      </c>
      <c r="I21" s="21" t="str">
        <f aca="false">IF(COUNT($D21:$E21)=0,"",IF(AND(MIN($D21:$E21)&lt;=I$9+6,MAX($D21:$E21)&gt;=I$9),1,""))</f>
        <v/>
      </c>
      <c r="J21" s="21" t="str">
        <f aca="false">IF(COUNT($D21:$E21)=0,"",IF(AND(MIN($D21:$E21)&lt;=J$9+6,MAX($D21:$E21)&gt;=J$9),1,""))</f>
        <v/>
      </c>
      <c r="K21" s="21" t="str">
        <f aca="false">IF(COUNT($D21:$E21)=0,"",IF(AND(MIN($D21:$E21)&lt;=K$9+6,MAX($D21:$E21)&gt;=K$9),1,""))</f>
        <v/>
      </c>
      <c r="L21" s="21" t="str">
        <f aca="false">IF(COUNT($D21:$E21)=0,"",IF(AND(MIN($D21:$E21)&lt;=L$9+6,MAX($D21:$E21)&gt;=L$9),1,""))</f>
        <v/>
      </c>
      <c r="M21" s="21" t="str">
        <f aca="false">IF(COUNT($D21:$E21)=0,"",IF(AND(MIN($D21:$E21)&lt;=M$9+6,MAX($D21:$E21)&gt;=M$9),1,""))</f>
        <v/>
      </c>
      <c r="N21" s="21" t="str">
        <f aca="false">IF(COUNT($D21:$E21)=0,"",IF(AND(MIN($D21:$E21)&lt;=N$9+6,MAX($D21:$E21)&gt;=N$9),1,""))</f>
        <v/>
      </c>
      <c r="O21" s="21" t="str">
        <f aca="false">IF(COUNT($D21:$E21)=0,"",IF(AND(MIN($D21:$E21)&lt;=O$9+6,MAX($D21:$E21)&gt;=O$9),1,""))</f>
        <v/>
      </c>
      <c r="P21" s="21" t="str">
        <f aca="false">IF(COUNT($D21:$E21)=0,"",IF(AND(MIN($D21:$E21)&lt;=P$9+6,MAX($D21:$E21)&gt;=P$9),1,""))</f>
        <v/>
      </c>
      <c r="Q21" s="22" t="s">
        <v>72</v>
      </c>
      <c r="R21" s="19" t="s">
        <v>73</v>
      </c>
    </row>
    <row r="22" customFormat="false" ht="30" hidden="false" customHeight="true" outlineLevel="0" collapsed="false">
      <c r="A22" s="18" t="s">
        <v>69</v>
      </c>
      <c r="B22" s="19" t="s">
        <v>74</v>
      </c>
      <c r="C22" s="19" t="s">
        <v>75</v>
      </c>
      <c r="D22" s="20" t="n">
        <v>46322</v>
      </c>
      <c r="E22" s="20" t="n">
        <v>46343</v>
      </c>
      <c r="F22" s="18" t="s">
        <v>76</v>
      </c>
      <c r="G22" s="18" t="s">
        <v>66</v>
      </c>
      <c r="H22" s="21" t="n">
        <f aca="false">IF(COUNT($D22:$E22)=0,"",IF(AND(MIN($D22:$E22)&lt;=H$9+6,MAX($D22:$E22)&gt;=H$9),1,""))</f>
        <v>1</v>
      </c>
      <c r="I22" s="21" t="n">
        <f aca="false">IF(COUNT($D22:$E22)=0,"",IF(AND(MIN($D22:$E22)&lt;=I$9+6,MAX($D22:$E22)&gt;=I$9),1,""))</f>
        <v>1</v>
      </c>
      <c r="J22" s="21" t="n">
        <f aca="false">IF(COUNT($D22:$E22)=0,"",IF(AND(MIN($D22:$E22)&lt;=J$9+6,MAX($D22:$E22)&gt;=J$9),1,""))</f>
        <v>1</v>
      </c>
      <c r="K22" s="21" t="n">
        <f aca="false">IF(COUNT($D22:$E22)=0,"",IF(AND(MIN($D22:$E22)&lt;=K$9+6,MAX($D22:$E22)&gt;=K$9),1,""))</f>
        <v>1</v>
      </c>
      <c r="L22" s="21" t="str">
        <f aca="false">IF(COUNT($D22:$E22)=0,"",IF(AND(MIN($D22:$E22)&lt;=L$9+6,MAX($D22:$E22)&gt;=L$9),1,""))</f>
        <v/>
      </c>
      <c r="M22" s="21" t="str">
        <f aca="false">IF(COUNT($D22:$E22)=0,"",IF(AND(MIN($D22:$E22)&lt;=M$9+6,MAX($D22:$E22)&gt;=M$9),1,""))</f>
        <v/>
      </c>
      <c r="N22" s="21" t="str">
        <f aca="false">IF(COUNT($D22:$E22)=0,"",IF(AND(MIN($D22:$E22)&lt;=N$9+6,MAX($D22:$E22)&gt;=N$9),1,""))</f>
        <v/>
      </c>
      <c r="O22" s="21" t="str">
        <f aca="false">IF(COUNT($D22:$E22)=0,"",IF(AND(MIN($D22:$E22)&lt;=O$9+6,MAX($D22:$E22)&gt;=O$9),1,""))</f>
        <v/>
      </c>
      <c r="P22" s="21" t="str">
        <f aca="false">IF(COUNT($D22:$E22)=0,"",IF(AND(MIN($D22:$E22)&lt;=P$9+6,MAX($D22:$E22)&gt;=P$9),1,""))</f>
        <v/>
      </c>
      <c r="Q22" s="22" t="s">
        <v>77</v>
      </c>
      <c r="R22" s="19" t="s">
        <v>78</v>
      </c>
    </row>
    <row r="23" customFormat="false" ht="30" hidden="false" customHeight="true" outlineLevel="0" collapsed="false">
      <c r="A23" s="18" t="s">
        <v>69</v>
      </c>
      <c r="B23" s="19" t="s">
        <v>79</v>
      </c>
      <c r="C23" s="19" t="s">
        <v>80</v>
      </c>
      <c r="D23" s="20" t="n">
        <v>46343</v>
      </c>
      <c r="E23" s="20" t="n">
        <v>46353</v>
      </c>
      <c r="F23" s="18" t="s">
        <v>15</v>
      </c>
      <c r="G23" s="18" t="s">
        <v>47</v>
      </c>
      <c r="H23" s="21" t="str">
        <f aca="false">IF(COUNT($D23:$E23)=0,"",IF(AND(MIN($D23:$E23)&lt;=H$9+6,MAX($D23:$E23)&gt;=H$9),1,""))</f>
        <v/>
      </c>
      <c r="I23" s="21" t="str">
        <f aca="false">IF(COUNT($D23:$E23)=0,"",IF(AND(MIN($D23:$E23)&lt;=I$9+6,MAX($D23:$E23)&gt;=I$9),1,""))</f>
        <v/>
      </c>
      <c r="J23" s="21" t="str">
        <f aca="false">IF(COUNT($D23:$E23)=0,"",IF(AND(MIN($D23:$E23)&lt;=J$9+6,MAX($D23:$E23)&gt;=J$9),1,""))</f>
        <v/>
      </c>
      <c r="K23" s="21" t="n">
        <f aca="false">IF(COUNT($D23:$E23)=0,"",IF(AND(MIN($D23:$E23)&lt;=K$9+6,MAX($D23:$E23)&gt;=K$9),1,""))</f>
        <v>1</v>
      </c>
      <c r="L23" s="21" t="n">
        <f aca="false">IF(COUNT($D23:$E23)=0,"",IF(AND(MIN($D23:$E23)&lt;=L$9+6,MAX($D23:$E23)&gt;=L$9),1,""))</f>
        <v>1</v>
      </c>
      <c r="M23" s="21" t="str">
        <f aca="false">IF(COUNT($D23:$E23)=0,"",IF(AND(MIN($D23:$E23)&lt;=M$9+6,MAX($D23:$E23)&gt;=M$9),1,""))</f>
        <v/>
      </c>
      <c r="N23" s="21" t="str">
        <f aca="false">IF(COUNT($D23:$E23)=0,"",IF(AND(MIN($D23:$E23)&lt;=N$9+6,MAX($D23:$E23)&gt;=N$9),1,""))</f>
        <v/>
      </c>
      <c r="O23" s="21" t="str">
        <f aca="false">IF(COUNT($D23:$E23)=0,"",IF(AND(MIN($D23:$E23)&lt;=O$9+6,MAX($D23:$E23)&gt;=O$9),1,""))</f>
        <v/>
      </c>
      <c r="P23" s="21" t="str">
        <f aca="false">IF(COUNT($D23:$E23)=0,"",IF(AND(MIN($D23:$E23)&lt;=P$9+6,MAX($D23:$E23)&gt;=P$9),1,""))</f>
        <v/>
      </c>
      <c r="Q23" s="22" t="s">
        <v>77</v>
      </c>
      <c r="R23" s="19" t="s">
        <v>81</v>
      </c>
    </row>
    <row r="24" customFormat="false" ht="30" hidden="false" customHeight="true" outlineLevel="0" collapsed="false">
      <c r="A24" s="18" t="s">
        <v>69</v>
      </c>
      <c r="B24" s="19" t="s">
        <v>82</v>
      </c>
      <c r="C24" s="19" t="s">
        <v>83</v>
      </c>
      <c r="D24" s="20" t="n">
        <v>46323</v>
      </c>
      <c r="E24" s="20" t="n">
        <v>46332</v>
      </c>
      <c r="F24" s="18" t="s">
        <v>15</v>
      </c>
      <c r="G24" s="18" t="s">
        <v>42</v>
      </c>
      <c r="H24" s="21" t="n">
        <f aca="false">IF(COUNT($D24:$E24)=0,"",IF(AND(MIN($D24:$E24)&lt;=H$9+6,MAX($D24:$E24)&gt;=H$9),1,""))</f>
        <v>1</v>
      </c>
      <c r="I24" s="21" t="n">
        <f aca="false">IF(COUNT($D24:$E24)=0,"",IF(AND(MIN($D24:$E24)&lt;=I$9+6,MAX($D24:$E24)&gt;=I$9),1,""))</f>
        <v>1</v>
      </c>
      <c r="J24" s="21" t="str">
        <f aca="false">IF(COUNT($D24:$E24)=0,"",IF(AND(MIN($D24:$E24)&lt;=J$9+6,MAX($D24:$E24)&gt;=J$9),1,""))</f>
        <v/>
      </c>
      <c r="K24" s="21" t="str">
        <f aca="false">IF(COUNT($D24:$E24)=0,"",IF(AND(MIN($D24:$E24)&lt;=K$9+6,MAX($D24:$E24)&gt;=K$9),1,""))</f>
        <v/>
      </c>
      <c r="L24" s="21" t="str">
        <f aca="false">IF(COUNT($D24:$E24)=0,"",IF(AND(MIN($D24:$E24)&lt;=L$9+6,MAX($D24:$E24)&gt;=L$9),1,""))</f>
        <v/>
      </c>
      <c r="M24" s="21" t="str">
        <f aca="false">IF(COUNT($D24:$E24)=0,"",IF(AND(MIN($D24:$E24)&lt;=M$9+6,MAX($D24:$E24)&gt;=M$9),1,""))</f>
        <v/>
      </c>
      <c r="N24" s="21" t="str">
        <f aca="false">IF(COUNT($D24:$E24)=0,"",IF(AND(MIN($D24:$E24)&lt;=N$9+6,MAX($D24:$E24)&gt;=N$9),1,""))</f>
        <v/>
      </c>
      <c r="O24" s="21" t="str">
        <f aca="false">IF(COUNT($D24:$E24)=0,"",IF(AND(MIN($D24:$E24)&lt;=O$9+6,MAX($D24:$E24)&gt;=O$9),1,""))</f>
        <v/>
      </c>
      <c r="P24" s="21" t="str">
        <f aca="false">IF(COUNT($D24:$E24)=0,"",IF(AND(MIN($D24:$E24)&lt;=P$9+6,MAX($D24:$E24)&gt;=P$9),1,""))</f>
        <v/>
      </c>
      <c r="Q24" s="22" t="s">
        <v>84</v>
      </c>
      <c r="R24" s="19" t="s">
        <v>85</v>
      </c>
    </row>
    <row r="25" customFormat="false" ht="30" hidden="false" customHeight="true" outlineLevel="0" collapsed="false">
      <c r="A25" s="18" t="s">
        <v>86</v>
      </c>
      <c r="B25" s="19" t="s">
        <v>87</v>
      </c>
      <c r="C25" s="19" t="s">
        <v>83</v>
      </c>
      <c r="D25" s="20" t="n">
        <v>46323</v>
      </c>
      <c r="E25" s="20" t="n">
        <v>46325</v>
      </c>
      <c r="F25" s="18" t="s">
        <v>15</v>
      </c>
      <c r="G25" s="18" t="s">
        <v>47</v>
      </c>
      <c r="H25" s="21" t="n">
        <f aca="false">IF(COUNT($D25:$E25)=0,"",IF(AND(MIN($D25:$E25)&lt;=H$9+6,MAX($D25:$E25)&gt;=H$9),1,""))</f>
        <v>1</v>
      </c>
      <c r="I25" s="21" t="str">
        <f aca="false">IF(COUNT($D25:$E25)=0,"",IF(AND(MIN($D25:$E25)&lt;=I$9+6,MAX($D25:$E25)&gt;=I$9),1,""))</f>
        <v/>
      </c>
      <c r="J25" s="21" t="str">
        <f aca="false">IF(COUNT($D25:$E25)=0,"",IF(AND(MIN($D25:$E25)&lt;=J$9+6,MAX($D25:$E25)&gt;=J$9),1,""))</f>
        <v/>
      </c>
      <c r="K25" s="21" t="str">
        <f aca="false">IF(COUNT($D25:$E25)=0,"",IF(AND(MIN($D25:$E25)&lt;=K$9+6,MAX($D25:$E25)&gt;=K$9),1,""))</f>
        <v/>
      </c>
      <c r="L25" s="21" t="str">
        <f aca="false">IF(COUNT($D25:$E25)=0,"",IF(AND(MIN($D25:$E25)&lt;=L$9+6,MAX($D25:$E25)&gt;=L$9),1,""))</f>
        <v/>
      </c>
      <c r="M25" s="21" t="str">
        <f aca="false">IF(COUNT($D25:$E25)=0,"",IF(AND(MIN($D25:$E25)&lt;=M$9+6,MAX($D25:$E25)&gt;=M$9),1,""))</f>
        <v/>
      </c>
      <c r="N25" s="21" t="str">
        <f aca="false">IF(COUNT($D25:$E25)=0,"",IF(AND(MIN($D25:$E25)&lt;=N$9+6,MAX($D25:$E25)&gt;=N$9),1,""))</f>
        <v/>
      </c>
      <c r="O25" s="21" t="str">
        <f aca="false">IF(COUNT($D25:$E25)=0,"",IF(AND(MIN($D25:$E25)&lt;=O$9+6,MAX($D25:$E25)&gt;=O$9),1,""))</f>
        <v/>
      </c>
      <c r="P25" s="21" t="str">
        <f aca="false">IF(COUNT($D25:$E25)=0,"",IF(AND(MIN($D25:$E25)&lt;=P$9+6,MAX($D25:$E25)&gt;=P$9),1,""))</f>
        <v/>
      </c>
      <c r="Q25" s="22" t="s">
        <v>38</v>
      </c>
      <c r="R25" s="19" t="s">
        <v>88</v>
      </c>
    </row>
    <row r="26" customFormat="false" ht="30" hidden="false" customHeight="true" outlineLevel="0" collapsed="false">
      <c r="A26" s="18" t="s">
        <v>86</v>
      </c>
      <c r="B26" s="19" t="s">
        <v>89</v>
      </c>
      <c r="C26" s="19" t="s">
        <v>90</v>
      </c>
      <c r="D26" s="20"/>
      <c r="E26" s="20" t="n">
        <v>46342</v>
      </c>
      <c r="F26" s="18" t="s">
        <v>15</v>
      </c>
      <c r="G26" s="18" t="s">
        <v>91</v>
      </c>
      <c r="H26" s="21" t="str">
        <f aca="false">IF(COUNT($D26:$E26)=0,"",IF(AND(MIN($D26:$E26)&lt;=H$9+6,MAX($D26:$E26)&gt;=H$9),1,""))</f>
        <v/>
      </c>
      <c r="I26" s="21" t="str">
        <f aca="false">IF(COUNT($D26:$E26)=0,"",IF(AND(MIN($D26:$E26)&lt;=I$9+6,MAX($D26:$E26)&gt;=I$9),1,""))</f>
        <v/>
      </c>
      <c r="J26" s="21" t="str">
        <f aca="false">IF(COUNT($D26:$E26)=0,"",IF(AND(MIN($D26:$E26)&lt;=J$9+6,MAX($D26:$E26)&gt;=J$9),1,""))</f>
        <v/>
      </c>
      <c r="K26" s="21" t="n">
        <f aca="false">IF(COUNT($D26:$E26)=0,"",IF(AND(MIN($D26:$E26)&lt;=K$9+6,MAX($D26:$E26)&gt;=K$9),1,""))</f>
        <v>1</v>
      </c>
      <c r="L26" s="21" t="str">
        <f aca="false">IF(COUNT($D26:$E26)=0,"",IF(AND(MIN($D26:$E26)&lt;=L$9+6,MAX($D26:$E26)&gt;=L$9),1,""))</f>
        <v/>
      </c>
      <c r="M26" s="21" t="str">
        <f aca="false">IF(COUNT($D26:$E26)=0,"",IF(AND(MIN($D26:$E26)&lt;=M$9+6,MAX($D26:$E26)&gt;=M$9),1,""))</f>
        <v/>
      </c>
      <c r="N26" s="21" t="str">
        <f aca="false">IF(COUNT($D26:$E26)=0,"",IF(AND(MIN($D26:$E26)&lt;=N$9+6,MAX($D26:$E26)&gt;=N$9),1,""))</f>
        <v/>
      </c>
      <c r="O26" s="21" t="str">
        <f aca="false">IF(COUNT($D26:$E26)=0,"",IF(AND(MIN($D26:$E26)&lt;=O$9+6,MAX($D26:$E26)&gt;=O$9),1,""))</f>
        <v/>
      </c>
      <c r="P26" s="21" t="str">
        <f aca="false">IF(COUNT($D26:$E26)=0,"",IF(AND(MIN($D26:$E26)&lt;=P$9+6,MAX($D26:$E26)&gt;=P$9),1,""))</f>
        <v/>
      </c>
      <c r="Q26" s="22" t="s">
        <v>92</v>
      </c>
      <c r="R26" s="19" t="s">
        <v>93</v>
      </c>
    </row>
    <row r="27" customFormat="false" ht="30" hidden="false" customHeight="true" outlineLevel="0" collapsed="false">
      <c r="A27" s="18" t="s">
        <v>86</v>
      </c>
      <c r="B27" s="19" t="s">
        <v>94</v>
      </c>
      <c r="C27" s="19" t="s">
        <v>95</v>
      </c>
      <c r="D27" s="20" t="n">
        <v>46328</v>
      </c>
      <c r="E27" s="20" t="n">
        <v>46342</v>
      </c>
      <c r="F27" s="18" t="s">
        <v>15</v>
      </c>
      <c r="G27" s="18" t="s">
        <v>47</v>
      </c>
      <c r="H27" s="21" t="str">
        <f aca="false">IF(COUNT($D27:$E27)=0,"",IF(AND(MIN($D27:$E27)&lt;=H$9+6,MAX($D27:$E27)&gt;=H$9),1,""))</f>
        <v/>
      </c>
      <c r="I27" s="21" t="n">
        <f aca="false">IF(COUNT($D27:$E27)=0,"",IF(AND(MIN($D27:$E27)&lt;=I$9+6,MAX($D27:$E27)&gt;=I$9),1,""))</f>
        <v>1</v>
      </c>
      <c r="J27" s="21" t="n">
        <f aca="false">IF(COUNT($D27:$E27)=0,"",IF(AND(MIN($D27:$E27)&lt;=J$9+6,MAX($D27:$E27)&gt;=J$9),1,""))</f>
        <v>1</v>
      </c>
      <c r="K27" s="21" t="n">
        <f aca="false">IF(COUNT($D27:$E27)=0,"",IF(AND(MIN($D27:$E27)&lt;=K$9+6,MAX($D27:$E27)&gt;=K$9),1,""))</f>
        <v>1</v>
      </c>
      <c r="L27" s="21" t="str">
        <f aca="false">IF(COUNT($D27:$E27)=0,"",IF(AND(MIN($D27:$E27)&lt;=L$9+6,MAX($D27:$E27)&gt;=L$9),1,""))</f>
        <v/>
      </c>
      <c r="M27" s="21" t="str">
        <f aca="false">IF(COUNT($D27:$E27)=0,"",IF(AND(MIN($D27:$E27)&lt;=M$9+6,MAX($D27:$E27)&gt;=M$9),1,""))</f>
        <v/>
      </c>
      <c r="N27" s="21" t="str">
        <f aca="false">IF(COUNT($D27:$E27)=0,"",IF(AND(MIN($D27:$E27)&lt;=N$9+6,MAX($D27:$E27)&gt;=N$9),1,""))</f>
        <v/>
      </c>
      <c r="O27" s="21" t="str">
        <f aca="false">IF(COUNT($D27:$E27)=0,"",IF(AND(MIN($D27:$E27)&lt;=O$9+6,MAX($D27:$E27)&gt;=O$9),1,""))</f>
        <v/>
      </c>
      <c r="P27" s="21" t="str">
        <f aca="false">IF(COUNT($D27:$E27)=0,"",IF(AND(MIN($D27:$E27)&lt;=P$9+6,MAX($D27:$E27)&gt;=P$9),1,""))</f>
        <v/>
      </c>
      <c r="Q27" s="22" t="s">
        <v>96</v>
      </c>
      <c r="R27" s="19" t="s">
        <v>97</v>
      </c>
    </row>
    <row r="28" customFormat="false" ht="30" hidden="false" customHeight="true" outlineLevel="0" collapsed="false">
      <c r="A28" s="18" t="s">
        <v>86</v>
      </c>
      <c r="B28" s="19" t="s">
        <v>98</v>
      </c>
      <c r="C28" s="19" t="s">
        <v>42</v>
      </c>
      <c r="D28" s="20"/>
      <c r="E28" s="20" t="n">
        <v>46350</v>
      </c>
      <c r="F28" s="18" t="s">
        <v>15</v>
      </c>
      <c r="G28" s="18" t="s">
        <v>42</v>
      </c>
      <c r="H28" s="21" t="str">
        <f aca="false">IF(COUNT($D28:$E28)=0,"",IF(AND(MIN($D28:$E28)&lt;=H$9+6,MAX($D28:$E28)&gt;=H$9),1,""))</f>
        <v/>
      </c>
      <c r="I28" s="21" t="str">
        <f aca="false">IF(COUNT($D28:$E28)=0,"",IF(AND(MIN($D28:$E28)&lt;=I$9+6,MAX($D28:$E28)&gt;=I$9),1,""))</f>
        <v/>
      </c>
      <c r="J28" s="21" t="str">
        <f aca="false">IF(COUNT($D28:$E28)=0,"",IF(AND(MIN($D28:$E28)&lt;=J$9+6,MAX($D28:$E28)&gt;=J$9),1,""))</f>
        <v/>
      </c>
      <c r="K28" s="21" t="str">
        <f aca="false">IF(COUNT($D28:$E28)=0,"",IF(AND(MIN($D28:$E28)&lt;=K$9+6,MAX($D28:$E28)&gt;=K$9),1,""))</f>
        <v/>
      </c>
      <c r="L28" s="21" t="n">
        <f aca="false">IF(COUNT($D28:$E28)=0,"",IF(AND(MIN($D28:$E28)&lt;=L$9+6,MAX($D28:$E28)&gt;=L$9),1,""))</f>
        <v>1</v>
      </c>
      <c r="M28" s="21" t="str">
        <f aca="false">IF(COUNT($D28:$E28)=0,"",IF(AND(MIN($D28:$E28)&lt;=M$9+6,MAX($D28:$E28)&gt;=M$9),1,""))</f>
        <v/>
      </c>
      <c r="N28" s="21" t="str">
        <f aca="false">IF(COUNT($D28:$E28)=0,"",IF(AND(MIN($D28:$E28)&lt;=N$9+6,MAX($D28:$E28)&gt;=N$9),1,""))</f>
        <v/>
      </c>
      <c r="O28" s="21" t="str">
        <f aca="false">IF(COUNT($D28:$E28)=0,"",IF(AND(MIN($D28:$E28)&lt;=O$9+6,MAX($D28:$E28)&gt;=O$9),1,""))</f>
        <v/>
      </c>
      <c r="P28" s="21" t="str">
        <f aca="false">IF(COUNT($D28:$E28)=0,"",IF(AND(MIN($D28:$E28)&lt;=P$9+6,MAX($D28:$E28)&gt;=P$9),1,""))</f>
        <v/>
      </c>
      <c r="Q28" s="22" t="s">
        <v>99</v>
      </c>
      <c r="R28" s="19" t="s">
        <v>100</v>
      </c>
    </row>
    <row r="29" customFormat="false" ht="30" hidden="false" customHeight="true" outlineLevel="0" collapsed="false">
      <c r="A29" s="18" t="s">
        <v>86</v>
      </c>
      <c r="B29" s="19" t="s">
        <v>101</v>
      </c>
      <c r="C29" s="19" t="s">
        <v>102</v>
      </c>
      <c r="D29" s="20" t="n">
        <v>46335</v>
      </c>
      <c r="E29" s="20" t="n">
        <v>46353</v>
      </c>
      <c r="F29" s="18" t="s">
        <v>15</v>
      </c>
      <c r="G29" s="18" t="s">
        <v>42</v>
      </c>
      <c r="H29" s="21" t="str">
        <f aca="false">IF(COUNT($D29:$E29)=0,"",IF(AND(MIN($D29:$E29)&lt;=H$9+6,MAX($D29:$E29)&gt;=H$9),1,""))</f>
        <v/>
      </c>
      <c r="I29" s="21" t="str">
        <f aca="false">IF(COUNT($D29:$E29)=0,"",IF(AND(MIN($D29:$E29)&lt;=I$9+6,MAX($D29:$E29)&gt;=I$9),1,""))</f>
        <v/>
      </c>
      <c r="J29" s="21" t="n">
        <f aca="false">IF(COUNT($D29:$E29)=0,"",IF(AND(MIN($D29:$E29)&lt;=J$9+6,MAX($D29:$E29)&gt;=J$9),1,""))</f>
        <v>1</v>
      </c>
      <c r="K29" s="21" t="n">
        <f aca="false">IF(COUNT($D29:$E29)=0,"",IF(AND(MIN($D29:$E29)&lt;=K$9+6,MAX($D29:$E29)&gt;=K$9),1,""))</f>
        <v>1</v>
      </c>
      <c r="L29" s="21" t="n">
        <f aca="false">IF(COUNT($D29:$E29)=0,"",IF(AND(MIN($D29:$E29)&lt;=L$9+6,MAX($D29:$E29)&gt;=L$9),1,""))</f>
        <v>1</v>
      </c>
      <c r="M29" s="21" t="str">
        <f aca="false">IF(COUNT($D29:$E29)=0,"",IF(AND(MIN($D29:$E29)&lt;=M$9+6,MAX($D29:$E29)&gt;=M$9),1,""))</f>
        <v/>
      </c>
      <c r="N29" s="21" t="str">
        <f aca="false">IF(COUNT($D29:$E29)=0,"",IF(AND(MIN($D29:$E29)&lt;=N$9+6,MAX($D29:$E29)&gt;=N$9),1,""))</f>
        <v/>
      </c>
      <c r="O29" s="21" t="str">
        <f aca="false">IF(COUNT($D29:$E29)=0,"",IF(AND(MIN($D29:$E29)&lt;=O$9+6,MAX($D29:$E29)&gt;=O$9),1,""))</f>
        <v/>
      </c>
      <c r="P29" s="21" t="str">
        <f aca="false">IF(COUNT($D29:$E29)=0,"",IF(AND(MIN($D29:$E29)&lt;=P$9+6,MAX($D29:$E29)&gt;=P$9),1,""))</f>
        <v/>
      </c>
      <c r="Q29" s="22" t="s">
        <v>103</v>
      </c>
      <c r="R29" s="19" t="s">
        <v>104</v>
      </c>
    </row>
    <row r="30" customFormat="false" ht="19.5" hidden="false" customHeight="true" outlineLevel="0" collapsed="false">
      <c r="A30" s="17" t="s">
        <v>105</v>
      </c>
      <c r="B30" s="17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</row>
    <row r="31" customFormat="false" ht="30" hidden="false" customHeight="true" outlineLevel="0" collapsed="false">
      <c r="A31" s="18" t="s">
        <v>106</v>
      </c>
      <c r="B31" s="19" t="s">
        <v>107</v>
      </c>
      <c r="C31" s="19" t="s">
        <v>108</v>
      </c>
      <c r="D31" s="20"/>
      <c r="E31" s="20" t="n">
        <v>46325</v>
      </c>
      <c r="F31" s="18" t="s">
        <v>10</v>
      </c>
      <c r="G31" s="18" t="s">
        <v>91</v>
      </c>
      <c r="H31" s="21" t="n">
        <f aca="false">IF(COUNT($D31:$E31)=0,"",IF(AND(MIN($D31:$E31)&lt;=H$9+6,MAX($D31:$E31)&gt;=H$9),1,""))</f>
        <v>1</v>
      </c>
      <c r="I31" s="21" t="str">
        <f aca="false">IF(COUNT($D31:$E31)=0,"",IF(AND(MIN($D31:$E31)&lt;=I$9+6,MAX($D31:$E31)&gt;=I$9),1,""))</f>
        <v/>
      </c>
      <c r="J31" s="21" t="str">
        <f aca="false">IF(COUNT($D31:$E31)=0,"",IF(AND(MIN($D31:$E31)&lt;=J$9+6,MAX($D31:$E31)&gt;=J$9),1,""))</f>
        <v/>
      </c>
      <c r="K31" s="21" t="str">
        <f aca="false">IF(COUNT($D31:$E31)=0,"",IF(AND(MIN($D31:$E31)&lt;=K$9+6,MAX($D31:$E31)&gt;=K$9),1,""))</f>
        <v/>
      </c>
      <c r="L31" s="21" t="str">
        <f aca="false">IF(COUNT($D31:$E31)=0,"",IF(AND(MIN($D31:$E31)&lt;=L$9+6,MAX($D31:$E31)&gt;=L$9),1,""))</f>
        <v/>
      </c>
      <c r="M31" s="21" t="str">
        <f aca="false">IF(COUNT($D31:$E31)=0,"",IF(AND(MIN($D31:$E31)&lt;=M$9+6,MAX($D31:$E31)&gt;=M$9),1,""))</f>
        <v/>
      </c>
      <c r="N31" s="21" t="str">
        <f aca="false">IF(COUNT($D31:$E31)=0,"",IF(AND(MIN($D31:$E31)&lt;=N$9+6,MAX($D31:$E31)&gt;=N$9),1,""))</f>
        <v/>
      </c>
      <c r="O31" s="21" t="str">
        <f aca="false">IF(COUNT($D31:$E31)=0,"",IF(AND(MIN($D31:$E31)&lt;=O$9+6,MAX($D31:$E31)&gt;=O$9),1,""))</f>
        <v/>
      </c>
      <c r="P31" s="21" t="str">
        <f aca="false">IF(COUNT($D31:$E31)=0,"",IF(AND(MIN($D31:$E31)&lt;=P$9+6,MAX($D31:$E31)&gt;=P$9),1,""))</f>
        <v/>
      </c>
      <c r="Q31" s="22" t="s">
        <v>109</v>
      </c>
      <c r="R31" s="19" t="s">
        <v>110</v>
      </c>
    </row>
    <row r="32" customFormat="false" ht="30" hidden="false" customHeight="true" outlineLevel="0" collapsed="false">
      <c r="A32" s="18" t="s">
        <v>106</v>
      </c>
      <c r="B32" s="19" t="s">
        <v>111</v>
      </c>
      <c r="C32" s="19" t="s">
        <v>108</v>
      </c>
      <c r="D32" s="20" t="n">
        <v>46321</v>
      </c>
      <c r="E32" s="20" t="n">
        <v>46325</v>
      </c>
      <c r="F32" s="18" t="s">
        <v>10</v>
      </c>
      <c r="G32" s="18" t="s">
        <v>91</v>
      </c>
      <c r="H32" s="21" t="n">
        <f aca="false">IF(COUNT($D32:$E32)=0,"",IF(AND(MIN($D32:$E32)&lt;=H$9+6,MAX($D32:$E32)&gt;=H$9),1,""))</f>
        <v>1</v>
      </c>
      <c r="I32" s="21" t="str">
        <f aca="false">IF(COUNT($D32:$E32)=0,"",IF(AND(MIN($D32:$E32)&lt;=I$9+6,MAX($D32:$E32)&gt;=I$9),1,""))</f>
        <v/>
      </c>
      <c r="J32" s="21" t="str">
        <f aca="false">IF(COUNT($D32:$E32)=0,"",IF(AND(MIN($D32:$E32)&lt;=J$9+6,MAX($D32:$E32)&gt;=J$9),1,""))</f>
        <v/>
      </c>
      <c r="K32" s="21" t="str">
        <f aca="false">IF(COUNT($D32:$E32)=0,"",IF(AND(MIN($D32:$E32)&lt;=K$9+6,MAX($D32:$E32)&gt;=K$9),1,""))</f>
        <v/>
      </c>
      <c r="L32" s="21" t="str">
        <f aca="false">IF(COUNT($D32:$E32)=0,"",IF(AND(MIN($D32:$E32)&lt;=L$9+6,MAX($D32:$E32)&gt;=L$9),1,""))</f>
        <v/>
      </c>
      <c r="M32" s="21" t="str">
        <f aca="false">IF(COUNT($D32:$E32)=0,"",IF(AND(MIN($D32:$E32)&lt;=M$9+6,MAX($D32:$E32)&gt;=M$9),1,""))</f>
        <v/>
      </c>
      <c r="N32" s="21" t="str">
        <f aca="false">IF(COUNT($D32:$E32)=0,"",IF(AND(MIN($D32:$E32)&lt;=N$9+6,MAX($D32:$E32)&gt;=N$9),1,""))</f>
        <v/>
      </c>
      <c r="O32" s="21" t="str">
        <f aca="false">IF(COUNT($D32:$E32)=0,"",IF(AND(MIN($D32:$E32)&lt;=O$9+6,MAX($D32:$E32)&gt;=O$9),1,""))</f>
        <v/>
      </c>
      <c r="P32" s="21" t="str">
        <f aca="false">IF(COUNT($D32:$E32)=0,"",IF(AND(MIN($D32:$E32)&lt;=P$9+6,MAX($D32:$E32)&gt;=P$9),1,""))</f>
        <v/>
      </c>
      <c r="Q32" s="22" t="s">
        <v>112</v>
      </c>
      <c r="R32" s="19" t="s">
        <v>113</v>
      </c>
    </row>
    <row r="33" customFormat="false" ht="30" hidden="false" customHeight="true" outlineLevel="0" collapsed="false">
      <c r="A33" s="18" t="s">
        <v>106</v>
      </c>
      <c r="B33" s="19" t="s">
        <v>114</v>
      </c>
      <c r="C33" s="19" t="s">
        <v>115</v>
      </c>
      <c r="D33" s="20" t="n">
        <v>46322</v>
      </c>
      <c r="E33" s="20" t="n">
        <v>46325</v>
      </c>
      <c r="F33" s="18" t="s">
        <v>15</v>
      </c>
      <c r="G33" s="18" t="s">
        <v>42</v>
      </c>
      <c r="H33" s="21" t="n">
        <f aca="false">IF(COUNT($D33:$E33)=0,"",IF(AND(MIN($D33:$E33)&lt;=H$9+6,MAX($D33:$E33)&gt;=H$9),1,""))</f>
        <v>1</v>
      </c>
      <c r="I33" s="21" t="str">
        <f aca="false">IF(COUNT($D33:$E33)=0,"",IF(AND(MIN($D33:$E33)&lt;=I$9+6,MAX($D33:$E33)&gt;=I$9),1,""))</f>
        <v/>
      </c>
      <c r="J33" s="21" t="str">
        <f aca="false">IF(COUNT($D33:$E33)=0,"",IF(AND(MIN($D33:$E33)&lt;=J$9+6,MAX($D33:$E33)&gt;=J$9),1,""))</f>
        <v/>
      </c>
      <c r="K33" s="21" t="str">
        <f aca="false">IF(COUNT($D33:$E33)=0,"",IF(AND(MIN($D33:$E33)&lt;=K$9+6,MAX($D33:$E33)&gt;=K$9),1,""))</f>
        <v/>
      </c>
      <c r="L33" s="21" t="str">
        <f aca="false">IF(COUNT($D33:$E33)=0,"",IF(AND(MIN($D33:$E33)&lt;=L$9+6,MAX($D33:$E33)&gt;=L$9),1,""))</f>
        <v/>
      </c>
      <c r="M33" s="21" t="str">
        <f aca="false">IF(COUNT($D33:$E33)=0,"",IF(AND(MIN($D33:$E33)&lt;=M$9+6,MAX($D33:$E33)&gt;=M$9),1,""))</f>
        <v/>
      </c>
      <c r="N33" s="21" t="str">
        <f aca="false">IF(COUNT($D33:$E33)=0,"",IF(AND(MIN($D33:$E33)&lt;=N$9+6,MAX($D33:$E33)&gt;=N$9),1,""))</f>
        <v/>
      </c>
      <c r="O33" s="21" t="str">
        <f aca="false">IF(COUNT($D33:$E33)=0,"",IF(AND(MIN($D33:$E33)&lt;=O$9+6,MAX($D33:$E33)&gt;=O$9),1,""))</f>
        <v/>
      </c>
      <c r="P33" s="21" t="str">
        <f aca="false">IF(COUNT($D33:$E33)=0,"",IF(AND(MIN($D33:$E33)&lt;=P$9+6,MAX($D33:$E33)&gt;=P$9),1,""))</f>
        <v/>
      </c>
      <c r="Q33" s="22" t="s">
        <v>116</v>
      </c>
      <c r="R33" s="19" t="s">
        <v>117</v>
      </c>
    </row>
    <row r="34" customFormat="false" ht="30" hidden="false" customHeight="true" outlineLevel="0" collapsed="false">
      <c r="A34" s="18" t="s">
        <v>106</v>
      </c>
      <c r="B34" s="19" t="s">
        <v>118</v>
      </c>
      <c r="C34" s="19" t="s">
        <v>119</v>
      </c>
      <c r="D34" s="20"/>
      <c r="E34" s="20" t="n">
        <v>46339</v>
      </c>
      <c r="F34" s="18" t="s">
        <v>10</v>
      </c>
      <c r="G34" s="18" t="s">
        <v>91</v>
      </c>
      <c r="H34" s="21" t="str">
        <f aca="false">IF(COUNT($D34:$E34)=0,"",IF(AND(MIN($D34:$E34)&lt;=H$9+6,MAX($D34:$E34)&gt;=H$9),1,""))</f>
        <v/>
      </c>
      <c r="I34" s="21" t="str">
        <f aca="false">IF(COUNT($D34:$E34)=0,"",IF(AND(MIN($D34:$E34)&lt;=I$9+6,MAX($D34:$E34)&gt;=I$9),1,""))</f>
        <v/>
      </c>
      <c r="J34" s="21" t="n">
        <f aca="false">IF(COUNT($D34:$E34)=0,"",IF(AND(MIN($D34:$E34)&lt;=J$9+6,MAX($D34:$E34)&gt;=J$9),1,""))</f>
        <v>1</v>
      </c>
      <c r="K34" s="21" t="str">
        <f aca="false">IF(COUNT($D34:$E34)=0,"",IF(AND(MIN($D34:$E34)&lt;=K$9+6,MAX($D34:$E34)&gt;=K$9),1,""))</f>
        <v/>
      </c>
      <c r="L34" s="21" t="str">
        <f aca="false">IF(COUNT($D34:$E34)=0,"",IF(AND(MIN($D34:$E34)&lt;=L$9+6,MAX($D34:$E34)&gt;=L$9),1,""))</f>
        <v/>
      </c>
      <c r="M34" s="21" t="str">
        <f aca="false">IF(COUNT($D34:$E34)=0,"",IF(AND(MIN($D34:$E34)&lt;=M$9+6,MAX($D34:$E34)&gt;=M$9),1,""))</f>
        <v/>
      </c>
      <c r="N34" s="21" t="str">
        <f aca="false">IF(COUNT($D34:$E34)=0,"",IF(AND(MIN($D34:$E34)&lt;=N$9+6,MAX($D34:$E34)&gt;=N$9),1,""))</f>
        <v/>
      </c>
      <c r="O34" s="21" t="str">
        <f aca="false">IF(COUNT($D34:$E34)=0,"",IF(AND(MIN($D34:$E34)&lt;=O$9+6,MAX($D34:$E34)&gt;=O$9),1,""))</f>
        <v/>
      </c>
      <c r="P34" s="21" t="str">
        <f aca="false">IF(COUNT($D34:$E34)=0,"",IF(AND(MIN($D34:$E34)&lt;=P$9+6,MAX($D34:$E34)&gt;=P$9),1,""))</f>
        <v/>
      </c>
      <c r="Q34" s="22" t="s">
        <v>120</v>
      </c>
      <c r="R34" s="19"/>
    </row>
    <row r="35" customFormat="false" ht="30" hidden="false" customHeight="true" outlineLevel="0" collapsed="false">
      <c r="A35" s="18" t="s">
        <v>106</v>
      </c>
      <c r="B35" s="19" t="s">
        <v>121</v>
      </c>
      <c r="C35" s="19" t="s">
        <v>122</v>
      </c>
      <c r="D35" s="20"/>
      <c r="E35" s="20" t="n">
        <v>46339</v>
      </c>
      <c r="F35" s="18" t="s">
        <v>15</v>
      </c>
      <c r="G35" s="18" t="s">
        <v>91</v>
      </c>
      <c r="H35" s="21" t="str">
        <f aca="false">IF(COUNT($D35:$E35)=0,"",IF(AND(MIN($D35:$E35)&lt;=H$9+6,MAX($D35:$E35)&gt;=H$9),1,""))</f>
        <v/>
      </c>
      <c r="I35" s="21" t="str">
        <f aca="false">IF(COUNT($D35:$E35)=0,"",IF(AND(MIN($D35:$E35)&lt;=I$9+6,MAX($D35:$E35)&gt;=I$9),1,""))</f>
        <v/>
      </c>
      <c r="J35" s="21" t="n">
        <f aca="false">IF(COUNT($D35:$E35)=0,"",IF(AND(MIN($D35:$E35)&lt;=J$9+6,MAX($D35:$E35)&gt;=J$9),1,""))</f>
        <v>1</v>
      </c>
      <c r="K35" s="21" t="str">
        <f aca="false">IF(COUNT($D35:$E35)=0,"",IF(AND(MIN($D35:$E35)&lt;=K$9+6,MAX($D35:$E35)&gt;=K$9),1,""))</f>
        <v/>
      </c>
      <c r="L35" s="21" t="str">
        <f aca="false">IF(COUNT($D35:$E35)=0,"",IF(AND(MIN($D35:$E35)&lt;=L$9+6,MAX($D35:$E35)&gt;=L$9),1,""))</f>
        <v/>
      </c>
      <c r="M35" s="21" t="str">
        <f aca="false">IF(COUNT($D35:$E35)=0,"",IF(AND(MIN($D35:$E35)&lt;=M$9+6,MAX($D35:$E35)&gt;=M$9),1,""))</f>
        <v/>
      </c>
      <c r="N35" s="21" t="str">
        <f aca="false">IF(COUNT($D35:$E35)=0,"",IF(AND(MIN($D35:$E35)&lt;=N$9+6,MAX($D35:$E35)&gt;=N$9),1,""))</f>
        <v/>
      </c>
      <c r="O35" s="21" t="str">
        <f aca="false">IF(COUNT($D35:$E35)=0,"",IF(AND(MIN($D35:$E35)&lt;=O$9+6,MAX($D35:$E35)&gt;=O$9),1,""))</f>
        <v/>
      </c>
      <c r="P35" s="21" t="str">
        <f aca="false">IF(COUNT($D35:$E35)=0,"",IF(AND(MIN($D35:$E35)&lt;=P$9+6,MAX($D35:$E35)&gt;=P$9),1,""))</f>
        <v/>
      </c>
      <c r="Q35" s="22" t="s">
        <v>123</v>
      </c>
      <c r="R35" s="19" t="s">
        <v>124</v>
      </c>
    </row>
    <row r="36" customFormat="false" ht="30" hidden="false" customHeight="true" outlineLevel="0" collapsed="false">
      <c r="A36" s="18" t="s">
        <v>106</v>
      </c>
      <c r="B36" s="19" t="s">
        <v>125</v>
      </c>
      <c r="C36" s="19" t="s">
        <v>122</v>
      </c>
      <c r="D36" s="20"/>
      <c r="E36" s="20" t="n">
        <v>46339</v>
      </c>
      <c r="F36" s="18" t="s">
        <v>15</v>
      </c>
      <c r="G36" s="18" t="s">
        <v>91</v>
      </c>
      <c r="H36" s="21" t="str">
        <f aca="false">IF(COUNT($D36:$E36)=0,"",IF(AND(MIN($D36:$E36)&lt;=H$9+6,MAX($D36:$E36)&gt;=H$9),1,""))</f>
        <v/>
      </c>
      <c r="I36" s="21" t="str">
        <f aca="false">IF(COUNT($D36:$E36)=0,"",IF(AND(MIN($D36:$E36)&lt;=I$9+6,MAX($D36:$E36)&gt;=I$9),1,""))</f>
        <v/>
      </c>
      <c r="J36" s="21" t="n">
        <f aca="false">IF(COUNT($D36:$E36)=0,"",IF(AND(MIN($D36:$E36)&lt;=J$9+6,MAX($D36:$E36)&gt;=J$9),1,""))</f>
        <v>1</v>
      </c>
      <c r="K36" s="21" t="str">
        <f aca="false">IF(COUNT($D36:$E36)=0,"",IF(AND(MIN($D36:$E36)&lt;=K$9+6,MAX($D36:$E36)&gt;=K$9),1,""))</f>
        <v/>
      </c>
      <c r="L36" s="21" t="str">
        <f aca="false">IF(COUNT($D36:$E36)=0,"",IF(AND(MIN($D36:$E36)&lt;=L$9+6,MAX($D36:$E36)&gt;=L$9),1,""))</f>
        <v/>
      </c>
      <c r="M36" s="21" t="str">
        <f aca="false">IF(COUNT($D36:$E36)=0,"",IF(AND(MIN($D36:$E36)&lt;=M$9+6,MAX($D36:$E36)&gt;=M$9),1,""))</f>
        <v/>
      </c>
      <c r="N36" s="21" t="str">
        <f aca="false">IF(COUNT($D36:$E36)=0,"",IF(AND(MIN($D36:$E36)&lt;=N$9+6,MAX($D36:$E36)&gt;=N$9),1,""))</f>
        <v/>
      </c>
      <c r="O36" s="21" t="str">
        <f aca="false">IF(COUNT($D36:$E36)=0,"",IF(AND(MIN($D36:$E36)&lt;=O$9+6,MAX($D36:$E36)&gt;=O$9),1,""))</f>
        <v/>
      </c>
      <c r="P36" s="21" t="str">
        <f aca="false">IF(COUNT($D36:$E36)=0,"",IF(AND(MIN($D36:$E36)&lt;=P$9+6,MAX($D36:$E36)&gt;=P$9),1,""))</f>
        <v/>
      </c>
      <c r="Q36" s="22" t="s">
        <v>126</v>
      </c>
      <c r="R36" s="19" t="s">
        <v>127</v>
      </c>
    </row>
    <row r="37" customFormat="false" ht="30" hidden="false" customHeight="true" outlineLevel="0" collapsed="false">
      <c r="A37" s="18" t="s">
        <v>106</v>
      </c>
      <c r="B37" s="19" t="s">
        <v>128</v>
      </c>
      <c r="C37" s="19" t="s">
        <v>129</v>
      </c>
      <c r="D37" s="20" t="n">
        <v>46339</v>
      </c>
      <c r="E37" s="20" t="n">
        <v>46342</v>
      </c>
      <c r="F37" s="18" t="s">
        <v>15</v>
      </c>
      <c r="G37" s="18" t="s">
        <v>47</v>
      </c>
      <c r="H37" s="21" t="str">
        <f aca="false">IF(COUNT($D37:$E37)=0,"",IF(AND(MIN($D37:$E37)&lt;=H$9+6,MAX($D37:$E37)&gt;=H$9),1,""))</f>
        <v/>
      </c>
      <c r="I37" s="21" t="str">
        <f aca="false">IF(COUNT($D37:$E37)=0,"",IF(AND(MIN($D37:$E37)&lt;=I$9+6,MAX($D37:$E37)&gt;=I$9),1,""))</f>
        <v/>
      </c>
      <c r="J37" s="21" t="n">
        <f aca="false">IF(COUNT($D37:$E37)=0,"",IF(AND(MIN($D37:$E37)&lt;=J$9+6,MAX($D37:$E37)&gt;=J$9),1,""))</f>
        <v>1</v>
      </c>
      <c r="K37" s="21" t="n">
        <f aca="false">IF(COUNT($D37:$E37)=0,"",IF(AND(MIN($D37:$E37)&lt;=K$9+6,MAX($D37:$E37)&gt;=K$9),1,""))</f>
        <v>1</v>
      </c>
      <c r="L37" s="21" t="str">
        <f aca="false">IF(COUNT($D37:$E37)=0,"",IF(AND(MIN($D37:$E37)&lt;=L$9+6,MAX($D37:$E37)&gt;=L$9),1,""))</f>
        <v/>
      </c>
      <c r="M37" s="21" t="str">
        <f aca="false">IF(COUNT($D37:$E37)=0,"",IF(AND(MIN($D37:$E37)&lt;=M$9+6,MAX($D37:$E37)&gt;=M$9),1,""))</f>
        <v/>
      </c>
      <c r="N37" s="21" t="str">
        <f aca="false">IF(COUNT($D37:$E37)=0,"",IF(AND(MIN($D37:$E37)&lt;=N$9+6,MAX($D37:$E37)&gt;=N$9),1,""))</f>
        <v/>
      </c>
      <c r="O37" s="21" t="str">
        <f aca="false">IF(COUNT($D37:$E37)=0,"",IF(AND(MIN($D37:$E37)&lt;=O$9+6,MAX($D37:$E37)&gt;=O$9),1,""))</f>
        <v/>
      </c>
      <c r="P37" s="21" t="str">
        <f aca="false">IF(COUNT($D37:$E37)=0,"",IF(AND(MIN($D37:$E37)&lt;=P$9+6,MAX($D37:$E37)&gt;=P$9),1,""))</f>
        <v/>
      </c>
      <c r="Q37" s="22" t="s">
        <v>130</v>
      </c>
      <c r="R37" s="19" t="s">
        <v>131</v>
      </c>
    </row>
    <row r="38" customFormat="false" ht="30" hidden="false" customHeight="true" outlineLevel="0" collapsed="false">
      <c r="A38" s="18" t="s">
        <v>132</v>
      </c>
      <c r="B38" s="19" t="s">
        <v>133</v>
      </c>
      <c r="C38" s="19" t="s">
        <v>134</v>
      </c>
      <c r="D38" s="20"/>
      <c r="E38" s="20"/>
      <c r="F38" s="18" t="s">
        <v>10</v>
      </c>
      <c r="G38" s="18" t="s">
        <v>33</v>
      </c>
      <c r="H38" s="21" t="str">
        <f aca="false">IF(COUNT($D38:$E38)=0,"",IF(AND(MIN($D38:$E38)&lt;=H$9+6,MAX($D38:$E38)&gt;=H$9),1,""))</f>
        <v/>
      </c>
      <c r="I38" s="21" t="str">
        <f aca="false">IF(COUNT($D38:$E38)=0,"",IF(AND(MIN($D38:$E38)&lt;=I$9+6,MAX($D38:$E38)&gt;=I$9),1,""))</f>
        <v/>
      </c>
      <c r="J38" s="21" t="str">
        <f aca="false">IF(COUNT($D38:$E38)=0,"",IF(AND(MIN($D38:$E38)&lt;=J$9+6,MAX($D38:$E38)&gt;=J$9),1,""))</f>
        <v/>
      </c>
      <c r="K38" s="21" t="str">
        <f aca="false">IF(COUNT($D38:$E38)=0,"",IF(AND(MIN($D38:$E38)&lt;=K$9+6,MAX($D38:$E38)&gt;=K$9),1,""))</f>
        <v/>
      </c>
      <c r="L38" s="21" t="str">
        <f aca="false">IF(COUNT($D38:$E38)=0,"",IF(AND(MIN($D38:$E38)&lt;=L$9+6,MAX($D38:$E38)&gt;=L$9),1,""))</f>
        <v/>
      </c>
      <c r="M38" s="21" t="str">
        <f aca="false">IF(COUNT($D38:$E38)=0,"",IF(AND(MIN($D38:$E38)&lt;=M$9+6,MAX($D38:$E38)&gt;=M$9),1,""))</f>
        <v/>
      </c>
      <c r="N38" s="21" t="str">
        <f aca="false">IF(COUNT($D38:$E38)=0,"",IF(AND(MIN($D38:$E38)&lt;=N$9+6,MAX($D38:$E38)&gt;=N$9),1,""))</f>
        <v/>
      </c>
      <c r="O38" s="21" t="str">
        <f aca="false">IF(COUNT($D38:$E38)=0,"",IF(AND(MIN($D38:$E38)&lt;=O$9+6,MAX($D38:$E38)&gt;=O$9),1,""))</f>
        <v/>
      </c>
      <c r="P38" s="21" t="str">
        <f aca="false">IF(COUNT($D38:$E38)=0,"",IF(AND(MIN($D38:$E38)&lt;=P$9+6,MAX($D38:$E38)&gt;=P$9),1,""))</f>
        <v/>
      </c>
      <c r="Q38" s="22" t="s">
        <v>135</v>
      </c>
      <c r="R38" s="19" t="s">
        <v>136</v>
      </c>
    </row>
    <row r="39" customFormat="false" ht="30" hidden="false" customHeight="true" outlineLevel="0" collapsed="false">
      <c r="A39" s="18" t="s">
        <v>132</v>
      </c>
      <c r="B39" s="19" t="s">
        <v>137</v>
      </c>
      <c r="C39" s="19" t="s">
        <v>122</v>
      </c>
      <c r="D39" s="20"/>
      <c r="E39" s="20" t="n">
        <v>46339</v>
      </c>
      <c r="F39" s="18" t="s">
        <v>15</v>
      </c>
      <c r="G39" s="18" t="s">
        <v>91</v>
      </c>
      <c r="H39" s="21" t="str">
        <f aca="false">IF(COUNT($D39:$E39)=0,"",IF(AND(MIN($D39:$E39)&lt;=H$9+6,MAX($D39:$E39)&gt;=H$9),1,""))</f>
        <v/>
      </c>
      <c r="I39" s="21" t="str">
        <f aca="false">IF(COUNT($D39:$E39)=0,"",IF(AND(MIN($D39:$E39)&lt;=I$9+6,MAX($D39:$E39)&gt;=I$9),1,""))</f>
        <v/>
      </c>
      <c r="J39" s="21" t="n">
        <f aca="false">IF(COUNT($D39:$E39)=0,"",IF(AND(MIN($D39:$E39)&lt;=J$9+6,MAX($D39:$E39)&gt;=J$9),1,""))</f>
        <v>1</v>
      </c>
      <c r="K39" s="21" t="str">
        <f aca="false">IF(COUNT($D39:$E39)=0,"",IF(AND(MIN($D39:$E39)&lt;=K$9+6,MAX($D39:$E39)&gt;=K$9),1,""))</f>
        <v/>
      </c>
      <c r="L39" s="21" t="str">
        <f aca="false">IF(COUNT($D39:$E39)=0,"",IF(AND(MIN($D39:$E39)&lt;=L$9+6,MAX($D39:$E39)&gt;=L$9),1,""))</f>
        <v/>
      </c>
      <c r="M39" s="21" t="str">
        <f aca="false">IF(COUNT($D39:$E39)=0,"",IF(AND(MIN($D39:$E39)&lt;=M$9+6,MAX($D39:$E39)&gt;=M$9),1,""))</f>
        <v/>
      </c>
      <c r="N39" s="21" t="str">
        <f aca="false">IF(COUNT($D39:$E39)=0,"",IF(AND(MIN($D39:$E39)&lt;=N$9+6,MAX($D39:$E39)&gt;=N$9),1,""))</f>
        <v/>
      </c>
      <c r="O39" s="21" t="str">
        <f aca="false">IF(COUNT($D39:$E39)=0,"",IF(AND(MIN($D39:$E39)&lt;=O$9+6,MAX($D39:$E39)&gt;=O$9),1,""))</f>
        <v/>
      </c>
      <c r="P39" s="21" t="str">
        <f aca="false">IF(COUNT($D39:$E39)=0,"",IF(AND(MIN($D39:$E39)&lt;=P$9+6,MAX($D39:$E39)&gt;=P$9),1,""))</f>
        <v/>
      </c>
      <c r="Q39" s="22" t="s">
        <v>138</v>
      </c>
      <c r="R39" s="19" t="s">
        <v>139</v>
      </c>
    </row>
    <row r="40" customFormat="false" ht="30" hidden="false" customHeight="true" outlineLevel="0" collapsed="false">
      <c r="A40" s="18" t="s">
        <v>132</v>
      </c>
      <c r="B40" s="19" t="s">
        <v>140</v>
      </c>
      <c r="C40" s="19" t="s">
        <v>141</v>
      </c>
      <c r="D40" s="20"/>
      <c r="E40" s="20" t="n">
        <v>46339</v>
      </c>
      <c r="F40" s="18" t="s">
        <v>15</v>
      </c>
      <c r="G40" s="18" t="s">
        <v>42</v>
      </c>
      <c r="H40" s="21" t="str">
        <f aca="false">IF(COUNT($D40:$E40)=0,"",IF(AND(MIN($D40:$E40)&lt;=H$9+6,MAX($D40:$E40)&gt;=H$9),1,""))</f>
        <v/>
      </c>
      <c r="I40" s="21" t="str">
        <f aca="false">IF(COUNT($D40:$E40)=0,"",IF(AND(MIN($D40:$E40)&lt;=I$9+6,MAX($D40:$E40)&gt;=I$9),1,""))</f>
        <v/>
      </c>
      <c r="J40" s="21" t="n">
        <f aca="false">IF(COUNT($D40:$E40)=0,"",IF(AND(MIN($D40:$E40)&lt;=J$9+6,MAX($D40:$E40)&gt;=J$9),1,""))</f>
        <v>1</v>
      </c>
      <c r="K40" s="21" t="str">
        <f aca="false">IF(COUNT($D40:$E40)=0,"",IF(AND(MIN($D40:$E40)&lt;=K$9+6,MAX($D40:$E40)&gt;=K$9),1,""))</f>
        <v/>
      </c>
      <c r="L40" s="21" t="str">
        <f aca="false">IF(COUNT($D40:$E40)=0,"",IF(AND(MIN($D40:$E40)&lt;=L$9+6,MAX($D40:$E40)&gt;=L$9),1,""))</f>
        <v/>
      </c>
      <c r="M40" s="21" t="str">
        <f aca="false">IF(COUNT($D40:$E40)=0,"",IF(AND(MIN($D40:$E40)&lt;=M$9+6,MAX($D40:$E40)&gt;=M$9),1,""))</f>
        <v/>
      </c>
      <c r="N40" s="21" t="str">
        <f aca="false">IF(COUNT($D40:$E40)=0,"",IF(AND(MIN($D40:$E40)&lt;=N$9+6,MAX($D40:$E40)&gt;=N$9),1,""))</f>
        <v/>
      </c>
      <c r="O40" s="21" t="str">
        <f aca="false">IF(COUNT($D40:$E40)=0,"",IF(AND(MIN($D40:$E40)&lt;=O$9+6,MAX($D40:$E40)&gt;=O$9),1,""))</f>
        <v/>
      </c>
      <c r="P40" s="21" t="str">
        <f aca="false">IF(COUNT($D40:$E40)=0,"",IF(AND(MIN($D40:$E40)&lt;=P$9+6,MAX($D40:$E40)&gt;=P$9),1,""))</f>
        <v/>
      </c>
      <c r="Q40" s="22" t="s">
        <v>142</v>
      </c>
      <c r="R40" s="19" t="s">
        <v>143</v>
      </c>
    </row>
    <row r="41" customFormat="false" ht="30" hidden="false" customHeight="true" outlineLevel="0" collapsed="false">
      <c r="A41" s="18" t="s">
        <v>132</v>
      </c>
      <c r="B41" s="19" t="s">
        <v>144</v>
      </c>
      <c r="C41" s="19" t="s">
        <v>122</v>
      </c>
      <c r="D41" s="20"/>
      <c r="E41" s="20" t="n">
        <v>46339</v>
      </c>
      <c r="F41" s="18" t="s">
        <v>15</v>
      </c>
      <c r="G41" s="18" t="s">
        <v>47</v>
      </c>
      <c r="H41" s="21" t="str">
        <f aca="false">IF(COUNT($D41:$E41)=0,"",IF(AND(MIN($D41:$E41)&lt;=H$9+6,MAX($D41:$E41)&gt;=H$9),1,""))</f>
        <v/>
      </c>
      <c r="I41" s="21" t="str">
        <f aca="false">IF(COUNT($D41:$E41)=0,"",IF(AND(MIN($D41:$E41)&lt;=I$9+6,MAX($D41:$E41)&gt;=I$9),1,""))</f>
        <v/>
      </c>
      <c r="J41" s="21" t="n">
        <f aca="false">IF(COUNT($D41:$E41)=0,"",IF(AND(MIN($D41:$E41)&lt;=J$9+6,MAX($D41:$E41)&gt;=J$9),1,""))</f>
        <v>1</v>
      </c>
      <c r="K41" s="21" t="str">
        <f aca="false">IF(COUNT($D41:$E41)=0,"",IF(AND(MIN($D41:$E41)&lt;=K$9+6,MAX($D41:$E41)&gt;=K$9),1,""))</f>
        <v/>
      </c>
      <c r="L41" s="21" t="str">
        <f aca="false">IF(COUNT($D41:$E41)=0,"",IF(AND(MIN($D41:$E41)&lt;=L$9+6,MAX($D41:$E41)&gt;=L$9),1,""))</f>
        <v/>
      </c>
      <c r="M41" s="21" t="str">
        <f aca="false">IF(COUNT($D41:$E41)=0,"",IF(AND(MIN($D41:$E41)&lt;=M$9+6,MAX($D41:$E41)&gt;=M$9),1,""))</f>
        <v/>
      </c>
      <c r="N41" s="21" t="str">
        <f aca="false">IF(COUNT($D41:$E41)=0,"",IF(AND(MIN($D41:$E41)&lt;=N$9+6,MAX($D41:$E41)&gt;=N$9),1,""))</f>
        <v/>
      </c>
      <c r="O41" s="21" t="str">
        <f aca="false">IF(COUNT($D41:$E41)=0,"",IF(AND(MIN($D41:$E41)&lt;=O$9+6,MAX($D41:$E41)&gt;=O$9),1,""))</f>
        <v/>
      </c>
      <c r="P41" s="21" t="str">
        <f aca="false">IF(COUNT($D41:$E41)=0,"",IF(AND(MIN($D41:$E41)&lt;=P$9+6,MAX($D41:$E41)&gt;=P$9),1,""))</f>
        <v/>
      </c>
      <c r="Q41" s="22" t="s">
        <v>145</v>
      </c>
      <c r="R41" s="19" t="s">
        <v>146</v>
      </c>
    </row>
    <row r="42" customFormat="false" ht="30" hidden="false" customHeight="true" outlineLevel="0" collapsed="false">
      <c r="A42" s="18" t="s">
        <v>132</v>
      </c>
      <c r="B42" s="19" t="s">
        <v>147</v>
      </c>
      <c r="C42" s="19" t="s">
        <v>148</v>
      </c>
      <c r="D42" s="20" t="n">
        <v>46321</v>
      </c>
      <c r="E42" s="20" t="n">
        <v>46342</v>
      </c>
      <c r="F42" s="18" t="s">
        <v>76</v>
      </c>
      <c r="G42" s="18" t="s">
        <v>91</v>
      </c>
      <c r="H42" s="21" t="n">
        <f aca="false">IF(COUNT($D42:$E42)=0,"",IF(AND(MIN($D42:$E42)&lt;=H$9+6,MAX($D42:$E42)&gt;=H$9),1,""))</f>
        <v>1</v>
      </c>
      <c r="I42" s="21" t="n">
        <f aca="false">IF(COUNT($D42:$E42)=0,"",IF(AND(MIN($D42:$E42)&lt;=I$9+6,MAX($D42:$E42)&gt;=I$9),1,""))</f>
        <v>1</v>
      </c>
      <c r="J42" s="21" t="n">
        <f aca="false">IF(COUNT($D42:$E42)=0,"",IF(AND(MIN($D42:$E42)&lt;=J$9+6,MAX($D42:$E42)&gt;=J$9),1,""))</f>
        <v>1</v>
      </c>
      <c r="K42" s="21" t="n">
        <f aca="false">IF(COUNT($D42:$E42)=0,"",IF(AND(MIN($D42:$E42)&lt;=K$9+6,MAX($D42:$E42)&gt;=K$9),1,""))</f>
        <v>1</v>
      </c>
      <c r="L42" s="21" t="str">
        <f aca="false">IF(COUNT($D42:$E42)=0,"",IF(AND(MIN($D42:$E42)&lt;=L$9+6,MAX($D42:$E42)&gt;=L$9),1,""))</f>
        <v/>
      </c>
      <c r="M42" s="21" t="str">
        <f aca="false">IF(COUNT($D42:$E42)=0,"",IF(AND(MIN($D42:$E42)&lt;=M$9+6,MAX($D42:$E42)&gt;=M$9),1,""))</f>
        <v/>
      </c>
      <c r="N42" s="21" t="str">
        <f aca="false">IF(COUNT($D42:$E42)=0,"",IF(AND(MIN($D42:$E42)&lt;=N$9+6,MAX($D42:$E42)&gt;=N$9),1,""))</f>
        <v/>
      </c>
      <c r="O42" s="21" t="str">
        <f aca="false">IF(COUNT($D42:$E42)=0,"",IF(AND(MIN($D42:$E42)&lt;=O$9+6,MAX($D42:$E42)&gt;=O$9),1,""))</f>
        <v/>
      </c>
      <c r="P42" s="21" t="str">
        <f aca="false">IF(COUNT($D42:$E42)=0,"",IF(AND(MIN($D42:$E42)&lt;=P$9+6,MAX($D42:$E42)&gt;=P$9),1,""))</f>
        <v/>
      </c>
      <c r="Q42" s="22" t="s">
        <v>149</v>
      </c>
      <c r="R42" s="19" t="s">
        <v>150</v>
      </c>
    </row>
    <row r="43" customFormat="false" ht="30" hidden="false" customHeight="true" outlineLevel="0" collapsed="false">
      <c r="A43" s="18" t="s">
        <v>132</v>
      </c>
      <c r="B43" s="19" t="s">
        <v>151</v>
      </c>
      <c r="C43" s="19" t="s">
        <v>134</v>
      </c>
      <c r="D43" s="20" t="n">
        <v>46323</v>
      </c>
      <c r="E43" s="20" t="n">
        <v>46332</v>
      </c>
      <c r="F43" s="18" t="s">
        <v>15</v>
      </c>
      <c r="G43" s="18" t="s">
        <v>42</v>
      </c>
      <c r="H43" s="21" t="n">
        <f aca="false">IF(COUNT($D43:$E43)=0,"",IF(AND(MIN($D43:$E43)&lt;=H$9+6,MAX($D43:$E43)&gt;=H$9),1,""))</f>
        <v>1</v>
      </c>
      <c r="I43" s="21" t="n">
        <f aca="false">IF(COUNT($D43:$E43)=0,"",IF(AND(MIN($D43:$E43)&lt;=I$9+6,MAX($D43:$E43)&gt;=I$9),1,""))</f>
        <v>1</v>
      </c>
      <c r="J43" s="21" t="str">
        <f aca="false">IF(COUNT($D43:$E43)=0,"",IF(AND(MIN($D43:$E43)&lt;=J$9+6,MAX($D43:$E43)&gt;=J$9),1,""))</f>
        <v/>
      </c>
      <c r="K43" s="21" t="str">
        <f aca="false">IF(COUNT($D43:$E43)=0,"",IF(AND(MIN($D43:$E43)&lt;=K$9+6,MAX($D43:$E43)&gt;=K$9),1,""))</f>
        <v/>
      </c>
      <c r="L43" s="21" t="str">
        <f aca="false">IF(COUNT($D43:$E43)=0,"",IF(AND(MIN($D43:$E43)&lt;=L$9+6,MAX($D43:$E43)&gt;=L$9),1,""))</f>
        <v/>
      </c>
      <c r="M43" s="21" t="str">
        <f aca="false">IF(COUNT($D43:$E43)=0,"",IF(AND(MIN($D43:$E43)&lt;=M$9+6,MAX($D43:$E43)&gt;=M$9),1,""))</f>
        <v/>
      </c>
      <c r="N43" s="21" t="str">
        <f aca="false">IF(COUNT($D43:$E43)=0,"",IF(AND(MIN($D43:$E43)&lt;=N$9+6,MAX($D43:$E43)&gt;=N$9),1,""))</f>
        <v/>
      </c>
      <c r="O43" s="21" t="str">
        <f aca="false">IF(COUNT($D43:$E43)=0,"",IF(AND(MIN($D43:$E43)&lt;=O$9+6,MAX($D43:$E43)&gt;=O$9),1,""))</f>
        <v/>
      </c>
      <c r="P43" s="21" t="str">
        <f aca="false">IF(COUNT($D43:$E43)=0,"",IF(AND(MIN($D43:$E43)&lt;=P$9+6,MAX($D43:$E43)&gt;=P$9),1,""))</f>
        <v/>
      </c>
      <c r="Q43" s="22" t="s">
        <v>152</v>
      </c>
      <c r="R43" s="19" t="s">
        <v>153</v>
      </c>
    </row>
    <row r="44" customFormat="false" ht="30" hidden="false" customHeight="true" outlineLevel="0" collapsed="false">
      <c r="A44" s="18" t="s">
        <v>132</v>
      </c>
      <c r="B44" s="19" t="s">
        <v>154</v>
      </c>
      <c r="C44" s="19" t="s">
        <v>155</v>
      </c>
      <c r="D44" s="20" t="n">
        <v>46335</v>
      </c>
      <c r="E44" s="20" t="n">
        <v>46346</v>
      </c>
      <c r="F44" s="18" t="s">
        <v>15</v>
      </c>
      <c r="G44" s="18" t="s">
        <v>47</v>
      </c>
      <c r="H44" s="21" t="str">
        <f aca="false">IF(COUNT($D44:$E44)=0,"",IF(AND(MIN($D44:$E44)&lt;=H$9+6,MAX($D44:$E44)&gt;=H$9),1,""))</f>
        <v/>
      </c>
      <c r="I44" s="21" t="str">
        <f aca="false">IF(COUNT($D44:$E44)=0,"",IF(AND(MIN($D44:$E44)&lt;=I$9+6,MAX($D44:$E44)&gt;=I$9),1,""))</f>
        <v/>
      </c>
      <c r="J44" s="21" t="n">
        <f aca="false">IF(COUNT($D44:$E44)=0,"",IF(AND(MIN($D44:$E44)&lt;=J$9+6,MAX($D44:$E44)&gt;=J$9),1,""))</f>
        <v>1</v>
      </c>
      <c r="K44" s="21" t="n">
        <f aca="false">IF(COUNT($D44:$E44)=0,"",IF(AND(MIN($D44:$E44)&lt;=K$9+6,MAX($D44:$E44)&gt;=K$9),1,""))</f>
        <v>1</v>
      </c>
      <c r="L44" s="21" t="str">
        <f aca="false">IF(COUNT($D44:$E44)=0,"",IF(AND(MIN($D44:$E44)&lt;=L$9+6,MAX($D44:$E44)&gt;=L$9),1,""))</f>
        <v/>
      </c>
      <c r="M44" s="21" t="str">
        <f aca="false">IF(COUNT($D44:$E44)=0,"",IF(AND(MIN($D44:$E44)&lt;=M$9+6,MAX($D44:$E44)&gt;=M$9),1,""))</f>
        <v/>
      </c>
      <c r="N44" s="21" t="str">
        <f aca="false">IF(COUNT($D44:$E44)=0,"",IF(AND(MIN($D44:$E44)&lt;=N$9+6,MAX($D44:$E44)&gt;=N$9),1,""))</f>
        <v/>
      </c>
      <c r="O44" s="21" t="str">
        <f aca="false">IF(COUNT($D44:$E44)=0,"",IF(AND(MIN($D44:$E44)&lt;=O$9+6,MAX($D44:$E44)&gt;=O$9),1,""))</f>
        <v/>
      </c>
      <c r="P44" s="21" t="str">
        <f aca="false">IF(COUNT($D44:$E44)=0,"",IF(AND(MIN($D44:$E44)&lt;=P$9+6,MAX($D44:$E44)&gt;=P$9),1,""))</f>
        <v/>
      </c>
      <c r="Q44" s="22" t="s">
        <v>156</v>
      </c>
      <c r="R44" s="19" t="s">
        <v>157</v>
      </c>
    </row>
    <row r="45" customFormat="false" ht="30" hidden="false" customHeight="true" outlineLevel="0" collapsed="false">
      <c r="A45" s="18" t="s">
        <v>132</v>
      </c>
      <c r="B45" s="19" t="s">
        <v>158</v>
      </c>
      <c r="C45" s="19" t="s">
        <v>159</v>
      </c>
      <c r="D45" s="20" t="n">
        <v>46342</v>
      </c>
      <c r="E45" s="20" t="n">
        <v>46353</v>
      </c>
      <c r="F45" s="18" t="s">
        <v>15</v>
      </c>
      <c r="G45" s="18" t="s">
        <v>47</v>
      </c>
      <c r="H45" s="21" t="str">
        <f aca="false">IF(COUNT($D45:$E45)=0,"",IF(AND(MIN($D45:$E45)&lt;=H$9+6,MAX($D45:$E45)&gt;=H$9),1,""))</f>
        <v/>
      </c>
      <c r="I45" s="21" t="str">
        <f aca="false">IF(COUNT($D45:$E45)=0,"",IF(AND(MIN($D45:$E45)&lt;=I$9+6,MAX($D45:$E45)&gt;=I$9),1,""))</f>
        <v/>
      </c>
      <c r="J45" s="21" t="str">
        <f aca="false">IF(COUNT($D45:$E45)=0,"",IF(AND(MIN($D45:$E45)&lt;=J$9+6,MAX($D45:$E45)&gt;=J$9),1,""))</f>
        <v/>
      </c>
      <c r="K45" s="21" t="n">
        <f aca="false">IF(COUNT($D45:$E45)=0,"",IF(AND(MIN($D45:$E45)&lt;=K$9+6,MAX($D45:$E45)&gt;=K$9),1,""))</f>
        <v>1</v>
      </c>
      <c r="L45" s="21" t="n">
        <f aca="false">IF(COUNT($D45:$E45)=0,"",IF(AND(MIN($D45:$E45)&lt;=L$9+6,MAX($D45:$E45)&gt;=L$9),1,""))</f>
        <v>1</v>
      </c>
      <c r="M45" s="21" t="str">
        <f aca="false">IF(COUNT($D45:$E45)=0,"",IF(AND(MIN($D45:$E45)&lt;=M$9+6,MAX($D45:$E45)&gt;=M$9),1,""))</f>
        <v/>
      </c>
      <c r="N45" s="21" t="str">
        <f aca="false">IF(COUNT($D45:$E45)=0,"",IF(AND(MIN($D45:$E45)&lt;=N$9+6,MAX($D45:$E45)&gt;=N$9),1,""))</f>
        <v/>
      </c>
      <c r="O45" s="21" t="str">
        <f aca="false">IF(COUNT($D45:$E45)=0,"",IF(AND(MIN($D45:$E45)&lt;=O$9+6,MAX($D45:$E45)&gt;=O$9),1,""))</f>
        <v/>
      </c>
      <c r="P45" s="21" t="str">
        <f aca="false">IF(COUNT($D45:$E45)=0,"",IF(AND(MIN($D45:$E45)&lt;=P$9+6,MAX($D45:$E45)&gt;=P$9),1,""))</f>
        <v/>
      </c>
      <c r="Q45" s="22" t="s">
        <v>160</v>
      </c>
      <c r="R45" s="19" t="s">
        <v>161</v>
      </c>
    </row>
    <row r="46" customFormat="false" ht="30" hidden="false" customHeight="true" outlineLevel="0" collapsed="false">
      <c r="A46" s="18" t="s">
        <v>132</v>
      </c>
      <c r="B46" s="19" t="s">
        <v>162</v>
      </c>
      <c r="C46" s="19" t="s">
        <v>163</v>
      </c>
      <c r="D46" s="20" t="n">
        <v>46349</v>
      </c>
      <c r="E46" s="20" t="n">
        <v>46358</v>
      </c>
      <c r="F46" s="18" t="s">
        <v>15</v>
      </c>
      <c r="G46" s="18" t="s">
        <v>47</v>
      </c>
      <c r="H46" s="21" t="str">
        <f aca="false">IF(COUNT($D46:$E46)=0,"",IF(AND(MIN($D46:$E46)&lt;=H$9+6,MAX($D46:$E46)&gt;=H$9),1,""))</f>
        <v/>
      </c>
      <c r="I46" s="21" t="str">
        <f aca="false">IF(COUNT($D46:$E46)=0,"",IF(AND(MIN($D46:$E46)&lt;=I$9+6,MAX($D46:$E46)&gt;=I$9),1,""))</f>
        <v/>
      </c>
      <c r="J46" s="21" t="str">
        <f aca="false">IF(COUNT($D46:$E46)=0,"",IF(AND(MIN($D46:$E46)&lt;=J$9+6,MAX($D46:$E46)&gt;=J$9),1,""))</f>
        <v/>
      </c>
      <c r="K46" s="21" t="str">
        <f aca="false">IF(COUNT($D46:$E46)=0,"",IF(AND(MIN($D46:$E46)&lt;=K$9+6,MAX($D46:$E46)&gt;=K$9),1,""))</f>
        <v/>
      </c>
      <c r="L46" s="21" t="n">
        <f aca="false">IF(COUNT($D46:$E46)=0,"",IF(AND(MIN($D46:$E46)&lt;=L$9+6,MAX($D46:$E46)&gt;=L$9),1,""))</f>
        <v>1</v>
      </c>
      <c r="M46" s="21" t="n">
        <f aca="false">IF(COUNT($D46:$E46)=0,"",IF(AND(MIN($D46:$E46)&lt;=M$9+6,MAX($D46:$E46)&gt;=M$9),1,""))</f>
        <v>1</v>
      </c>
      <c r="N46" s="21" t="str">
        <f aca="false">IF(COUNT($D46:$E46)=0,"",IF(AND(MIN($D46:$E46)&lt;=N$9+6,MAX($D46:$E46)&gt;=N$9),1,""))</f>
        <v/>
      </c>
      <c r="O46" s="21" t="str">
        <f aca="false">IF(COUNT($D46:$E46)=0,"",IF(AND(MIN($D46:$E46)&lt;=O$9+6,MAX($D46:$E46)&gt;=O$9),1,""))</f>
        <v/>
      </c>
      <c r="P46" s="21" t="str">
        <f aca="false">IF(COUNT($D46:$E46)=0,"",IF(AND(MIN($D46:$E46)&lt;=P$9+6,MAX($D46:$E46)&gt;=P$9),1,""))</f>
        <v/>
      </c>
      <c r="Q46" s="22" t="s">
        <v>164</v>
      </c>
      <c r="R46" s="19" t="s">
        <v>165</v>
      </c>
    </row>
    <row r="47" customFormat="false" ht="30" hidden="false" customHeight="true" outlineLevel="0" collapsed="false">
      <c r="A47" s="18" t="s">
        <v>166</v>
      </c>
      <c r="B47" s="19" t="s">
        <v>167</v>
      </c>
      <c r="C47" s="19" t="s">
        <v>168</v>
      </c>
      <c r="D47" s="20"/>
      <c r="E47" s="20" t="n">
        <v>46346</v>
      </c>
      <c r="F47" s="18" t="s">
        <v>15</v>
      </c>
      <c r="G47" s="18" t="s">
        <v>42</v>
      </c>
      <c r="H47" s="21" t="str">
        <f aca="false">IF(COUNT($D47:$E47)=0,"",IF(AND(MIN($D47:$E47)&lt;=H$9+6,MAX($D47:$E47)&gt;=H$9),1,""))</f>
        <v/>
      </c>
      <c r="I47" s="21" t="str">
        <f aca="false">IF(COUNT($D47:$E47)=0,"",IF(AND(MIN($D47:$E47)&lt;=I$9+6,MAX($D47:$E47)&gt;=I$9),1,""))</f>
        <v/>
      </c>
      <c r="J47" s="21" t="str">
        <f aca="false">IF(COUNT($D47:$E47)=0,"",IF(AND(MIN($D47:$E47)&lt;=J$9+6,MAX($D47:$E47)&gt;=J$9),1,""))</f>
        <v/>
      </c>
      <c r="K47" s="21" t="n">
        <f aca="false">IF(COUNT($D47:$E47)=0,"",IF(AND(MIN($D47:$E47)&lt;=K$9+6,MAX($D47:$E47)&gt;=K$9),1,""))</f>
        <v>1</v>
      </c>
      <c r="L47" s="21" t="str">
        <f aca="false">IF(COUNT($D47:$E47)=0,"",IF(AND(MIN($D47:$E47)&lt;=L$9+6,MAX($D47:$E47)&gt;=L$9),1,""))</f>
        <v/>
      </c>
      <c r="M47" s="21" t="str">
        <f aca="false">IF(COUNT($D47:$E47)=0,"",IF(AND(MIN($D47:$E47)&lt;=M$9+6,MAX($D47:$E47)&gt;=M$9),1,""))</f>
        <v/>
      </c>
      <c r="N47" s="21" t="str">
        <f aca="false">IF(COUNT($D47:$E47)=0,"",IF(AND(MIN($D47:$E47)&lt;=N$9+6,MAX($D47:$E47)&gt;=N$9),1,""))</f>
        <v/>
      </c>
      <c r="O47" s="21" t="str">
        <f aca="false">IF(COUNT($D47:$E47)=0,"",IF(AND(MIN($D47:$E47)&lt;=O$9+6,MAX($D47:$E47)&gt;=O$9),1,""))</f>
        <v/>
      </c>
      <c r="P47" s="21" t="str">
        <f aca="false">IF(COUNT($D47:$E47)=0,"",IF(AND(MIN($D47:$E47)&lt;=P$9+6,MAX($D47:$E47)&gt;=P$9),1,""))</f>
        <v/>
      </c>
      <c r="Q47" s="22" t="s">
        <v>169</v>
      </c>
      <c r="R47" s="19" t="s">
        <v>170</v>
      </c>
    </row>
    <row r="48" customFormat="false" ht="30" hidden="false" customHeight="true" outlineLevel="0" collapsed="false">
      <c r="A48" s="18" t="s">
        <v>166</v>
      </c>
      <c r="B48" s="19" t="s">
        <v>171</v>
      </c>
      <c r="C48" s="19" t="s">
        <v>134</v>
      </c>
      <c r="D48" s="20" t="n">
        <v>46323</v>
      </c>
      <c r="E48" s="20" t="n">
        <v>46332</v>
      </c>
      <c r="F48" s="18" t="s">
        <v>15</v>
      </c>
      <c r="G48" s="18" t="s">
        <v>42</v>
      </c>
      <c r="H48" s="21" t="n">
        <f aca="false">IF(COUNT($D48:$E48)=0,"",IF(AND(MIN($D48:$E48)&lt;=H$9+6,MAX($D48:$E48)&gt;=H$9),1,""))</f>
        <v>1</v>
      </c>
      <c r="I48" s="21" t="n">
        <f aca="false">IF(COUNT($D48:$E48)=0,"",IF(AND(MIN($D48:$E48)&lt;=I$9+6,MAX($D48:$E48)&gt;=I$9),1,""))</f>
        <v>1</v>
      </c>
      <c r="J48" s="21" t="str">
        <f aca="false">IF(COUNT($D48:$E48)=0,"",IF(AND(MIN($D48:$E48)&lt;=J$9+6,MAX($D48:$E48)&gt;=J$9),1,""))</f>
        <v/>
      </c>
      <c r="K48" s="21" t="str">
        <f aca="false">IF(COUNT($D48:$E48)=0,"",IF(AND(MIN($D48:$E48)&lt;=K$9+6,MAX($D48:$E48)&gt;=K$9),1,""))</f>
        <v/>
      </c>
      <c r="L48" s="21" t="str">
        <f aca="false">IF(COUNT($D48:$E48)=0,"",IF(AND(MIN($D48:$E48)&lt;=L$9+6,MAX($D48:$E48)&gt;=L$9),1,""))</f>
        <v/>
      </c>
      <c r="M48" s="21" t="str">
        <f aca="false">IF(COUNT($D48:$E48)=0,"",IF(AND(MIN($D48:$E48)&lt;=M$9+6,MAX($D48:$E48)&gt;=M$9),1,""))</f>
        <v/>
      </c>
      <c r="N48" s="21" t="str">
        <f aca="false">IF(COUNT($D48:$E48)=0,"",IF(AND(MIN($D48:$E48)&lt;=N$9+6,MAX($D48:$E48)&gt;=N$9),1,""))</f>
        <v/>
      </c>
      <c r="O48" s="21" t="str">
        <f aca="false">IF(COUNT($D48:$E48)=0,"",IF(AND(MIN($D48:$E48)&lt;=O$9+6,MAX($D48:$E48)&gt;=O$9),1,""))</f>
        <v/>
      </c>
      <c r="P48" s="21" t="str">
        <f aca="false">IF(COUNT($D48:$E48)=0,"",IF(AND(MIN($D48:$E48)&lt;=P$9+6,MAX($D48:$E48)&gt;=P$9),1,""))</f>
        <v/>
      </c>
      <c r="Q48" s="22" t="s">
        <v>172</v>
      </c>
      <c r="R48" s="19" t="s">
        <v>173</v>
      </c>
    </row>
    <row r="49" customFormat="false" ht="30" hidden="false" customHeight="true" outlineLevel="0" collapsed="false">
      <c r="A49" s="18" t="s">
        <v>102</v>
      </c>
      <c r="B49" s="19" t="s">
        <v>174</v>
      </c>
      <c r="C49" s="19" t="s">
        <v>175</v>
      </c>
      <c r="D49" s="20" t="n">
        <v>46343</v>
      </c>
      <c r="E49" s="20" t="n">
        <v>46363</v>
      </c>
      <c r="F49" s="18" t="s">
        <v>10</v>
      </c>
      <c r="G49" s="18" t="s">
        <v>47</v>
      </c>
      <c r="H49" s="21" t="str">
        <f aca="false">IF(COUNT($D49:$E49)=0,"",IF(AND(MIN($D49:$E49)&lt;=H$9+6,MAX($D49:$E49)&gt;=H$9),1,""))</f>
        <v/>
      </c>
      <c r="I49" s="21" t="str">
        <f aca="false">IF(COUNT($D49:$E49)=0,"",IF(AND(MIN($D49:$E49)&lt;=I$9+6,MAX($D49:$E49)&gt;=I$9),1,""))</f>
        <v/>
      </c>
      <c r="J49" s="21" t="str">
        <f aca="false">IF(COUNT($D49:$E49)=0,"",IF(AND(MIN($D49:$E49)&lt;=J$9+6,MAX($D49:$E49)&gt;=J$9),1,""))</f>
        <v/>
      </c>
      <c r="K49" s="21" t="n">
        <f aca="false">IF(COUNT($D49:$E49)=0,"",IF(AND(MIN($D49:$E49)&lt;=K$9+6,MAX($D49:$E49)&gt;=K$9),1,""))</f>
        <v>1</v>
      </c>
      <c r="L49" s="21" t="n">
        <f aca="false">IF(COUNT($D49:$E49)=0,"",IF(AND(MIN($D49:$E49)&lt;=L$9+6,MAX($D49:$E49)&gt;=L$9),1,""))</f>
        <v>1</v>
      </c>
      <c r="M49" s="21" t="n">
        <f aca="false">IF(COUNT($D49:$E49)=0,"",IF(AND(MIN($D49:$E49)&lt;=M$9+6,MAX($D49:$E49)&gt;=M$9),1,""))</f>
        <v>1</v>
      </c>
      <c r="N49" s="21" t="n">
        <f aca="false">IF(COUNT($D49:$E49)=0,"",IF(AND(MIN($D49:$E49)&lt;=N$9+6,MAX($D49:$E49)&gt;=N$9),1,""))</f>
        <v>1</v>
      </c>
      <c r="O49" s="21" t="str">
        <f aca="false">IF(COUNT($D49:$E49)=0,"",IF(AND(MIN($D49:$E49)&lt;=O$9+6,MAX($D49:$E49)&gt;=O$9),1,""))</f>
        <v/>
      </c>
      <c r="P49" s="21" t="str">
        <f aca="false">IF(COUNT($D49:$E49)=0,"",IF(AND(MIN($D49:$E49)&lt;=P$9+6,MAX($D49:$E49)&gt;=P$9),1,""))</f>
        <v/>
      </c>
      <c r="Q49" s="22" t="s">
        <v>176</v>
      </c>
      <c r="R49" s="19" t="s">
        <v>177</v>
      </c>
    </row>
    <row r="50" customFormat="false" ht="30" hidden="false" customHeight="true" outlineLevel="0" collapsed="false">
      <c r="A50" s="18" t="s">
        <v>102</v>
      </c>
      <c r="B50" s="19" t="s">
        <v>178</v>
      </c>
      <c r="C50" s="19" t="s">
        <v>179</v>
      </c>
      <c r="D50" s="20"/>
      <c r="E50" s="20" t="n">
        <v>46339</v>
      </c>
      <c r="F50" s="18" t="s">
        <v>15</v>
      </c>
      <c r="G50" s="18" t="s">
        <v>42</v>
      </c>
      <c r="H50" s="21" t="str">
        <f aca="false">IF(COUNT($D50:$E50)=0,"",IF(AND(MIN($D50:$E50)&lt;=H$9+6,MAX($D50:$E50)&gt;=H$9),1,""))</f>
        <v/>
      </c>
      <c r="I50" s="21" t="str">
        <f aca="false">IF(COUNT($D50:$E50)=0,"",IF(AND(MIN($D50:$E50)&lt;=I$9+6,MAX($D50:$E50)&gt;=I$9),1,""))</f>
        <v/>
      </c>
      <c r="J50" s="21" t="n">
        <f aca="false">IF(COUNT($D50:$E50)=0,"",IF(AND(MIN($D50:$E50)&lt;=J$9+6,MAX($D50:$E50)&gt;=J$9),1,""))</f>
        <v>1</v>
      </c>
      <c r="K50" s="21" t="str">
        <f aca="false">IF(COUNT($D50:$E50)=0,"",IF(AND(MIN($D50:$E50)&lt;=K$9+6,MAX($D50:$E50)&gt;=K$9),1,""))</f>
        <v/>
      </c>
      <c r="L50" s="21" t="str">
        <f aca="false">IF(COUNT($D50:$E50)=0,"",IF(AND(MIN($D50:$E50)&lt;=L$9+6,MAX($D50:$E50)&gt;=L$9),1,""))</f>
        <v/>
      </c>
      <c r="M50" s="21" t="str">
        <f aca="false">IF(COUNT($D50:$E50)=0,"",IF(AND(MIN($D50:$E50)&lt;=M$9+6,MAX($D50:$E50)&gt;=M$9),1,""))</f>
        <v/>
      </c>
      <c r="N50" s="21" t="str">
        <f aca="false">IF(COUNT($D50:$E50)=0,"",IF(AND(MIN($D50:$E50)&lt;=N$9+6,MAX($D50:$E50)&gt;=N$9),1,""))</f>
        <v/>
      </c>
      <c r="O50" s="21" t="str">
        <f aca="false">IF(COUNT($D50:$E50)=0,"",IF(AND(MIN($D50:$E50)&lt;=O$9+6,MAX($D50:$E50)&gt;=O$9),1,""))</f>
        <v/>
      </c>
      <c r="P50" s="21" t="str">
        <f aca="false">IF(COUNT($D50:$E50)=0,"",IF(AND(MIN($D50:$E50)&lt;=P$9+6,MAX($D50:$E50)&gt;=P$9),1,""))</f>
        <v/>
      </c>
      <c r="Q50" s="22" t="s">
        <v>180</v>
      </c>
      <c r="R50" s="19" t="s">
        <v>181</v>
      </c>
    </row>
    <row r="51" customFormat="false" ht="30" hidden="false" customHeight="true" outlineLevel="0" collapsed="false">
      <c r="A51" s="18" t="s">
        <v>102</v>
      </c>
      <c r="B51" s="19" t="s">
        <v>182</v>
      </c>
      <c r="C51" s="19" t="s">
        <v>183</v>
      </c>
      <c r="D51" s="20" t="n">
        <v>46364</v>
      </c>
      <c r="E51" s="20" t="n">
        <v>46367</v>
      </c>
      <c r="F51" s="18" t="s">
        <v>15</v>
      </c>
      <c r="G51" s="18" t="s">
        <v>47</v>
      </c>
      <c r="H51" s="21" t="str">
        <f aca="false">IF(COUNT($D51:$E51)=0,"",IF(AND(MIN($D51:$E51)&lt;=H$9+6,MAX($D51:$E51)&gt;=H$9),1,""))</f>
        <v/>
      </c>
      <c r="I51" s="21" t="str">
        <f aca="false">IF(COUNT($D51:$E51)=0,"",IF(AND(MIN($D51:$E51)&lt;=I$9+6,MAX($D51:$E51)&gt;=I$9),1,""))</f>
        <v/>
      </c>
      <c r="J51" s="21" t="str">
        <f aca="false">IF(COUNT($D51:$E51)=0,"",IF(AND(MIN($D51:$E51)&lt;=J$9+6,MAX($D51:$E51)&gt;=J$9),1,""))</f>
        <v/>
      </c>
      <c r="K51" s="21" t="str">
        <f aca="false">IF(COUNT($D51:$E51)=0,"",IF(AND(MIN($D51:$E51)&lt;=K$9+6,MAX($D51:$E51)&gt;=K$9),1,""))</f>
        <v/>
      </c>
      <c r="L51" s="21" t="str">
        <f aca="false">IF(COUNT($D51:$E51)=0,"",IF(AND(MIN($D51:$E51)&lt;=L$9+6,MAX($D51:$E51)&gt;=L$9),1,""))</f>
        <v/>
      </c>
      <c r="M51" s="21" t="str">
        <f aca="false">IF(COUNT($D51:$E51)=0,"",IF(AND(MIN($D51:$E51)&lt;=M$9+6,MAX($D51:$E51)&gt;=M$9),1,""))</f>
        <v/>
      </c>
      <c r="N51" s="21" t="n">
        <f aca="false">IF(COUNT($D51:$E51)=0,"",IF(AND(MIN($D51:$E51)&lt;=N$9+6,MAX($D51:$E51)&gt;=N$9),1,""))</f>
        <v>1</v>
      </c>
      <c r="O51" s="21" t="str">
        <f aca="false">IF(COUNT($D51:$E51)=0,"",IF(AND(MIN($D51:$E51)&lt;=O$9+6,MAX($D51:$E51)&gt;=O$9),1,""))</f>
        <v/>
      </c>
      <c r="P51" s="21" t="str">
        <f aca="false">IF(COUNT($D51:$E51)=0,"",IF(AND(MIN($D51:$E51)&lt;=P$9+6,MAX($D51:$E51)&gt;=P$9),1,""))</f>
        <v/>
      </c>
      <c r="Q51" s="22" t="s">
        <v>184</v>
      </c>
      <c r="R51" s="19" t="s">
        <v>185</v>
      </c>
    </row>
    <row r="52" customFormat="false" ht="30" hidden="false" customHeight="true" outlineLevel="0" collapsed="false">
      <c r="A52" s="18" t="s">
        <v>102</v>
      </c>
      <c r="B52" s="19" t="s">
        <v>186</v>
      </c>
      <c r="C52" s="19" t="s">
        <v>187</v>
      </c>
      <c r="D52" s="20" t="n">
        <v>46360</v>
      </c>
      <c r="E52" s="20" t="n">
        <v>46364</v>
      </c>
      <c r="F52" s="18" t="s">
        <v>15</v>
      </c>
      <c r="G52" s="18" t="s">
        <v>47</v>
      </c>
      <c r="H52" s="21" t="str">
        <f aca="false">IF(COUNT($D52:$E52)=0,"",IF(AND(MIN($D52:$E52)&lt;=H$9+6,MAX($D52:$E52)&gt;=H$9),1,""))</f>
        <v/>
      </c>
      <c r="I52" s="21" t="str">
        <f aca="false">IF(COUNT($D52:$E52)=0,"",IF(AND(MIN($D52:$E52)&lt;=I$9+6,MAX($D52:$E52)&gt;=I$9),1,""))</f>
        <v/>
      </c>
      <c r="J52" s="21" t="str">
        <f aca="false">IF(COUNT($D52:$E52)=0,"",IF(AND(MIN($D52:$E52)&lt;=J$9+6,MAX($D52:$E52)&gt;=J$9),1,""))</f>
        <v/>
      </c>
      <c r="K52" s="21" t="str">
        <f aca="false">IF(COUNT($D52:$E52)=0,"",IF(AND(MIN($D52:$E52)&lt;=K$9+6,MAX($D52:$E52)&gt;=K$9),1,""))</f>
        <v/>
      </c>
      <c r="L52" s="21" t="str">
        <f aca="false">IF(COUNT($D52:$E52)=0,"",IF(AND(MIN($D52:$E52)&lt;=L$9+6,MAX($D52:$E52)&gt;=L$9),1,""))</f>
        <v/>
      </c>
      <c r="M52" s="21" t="n">
        <f aca="false">IF(COUNT($D52:$E52)=0,"",IF(AND(MIN($D52:$E52)&lt;=M$9+6,MAX($D52:$E52)&gt;=M$9),1,""))</f>
        <v>1</v>
      </c>
      <c r="N52" s="21" t="n">
        <f aca="false">IF(COUNT($D52:$E52)=0,"",IF(AND(MIN($D52:$E52)&lt;=N$9+6,MAX($D52:$E52)&gt;=N$9),1,""))</f>
        <v>1</v>
      </c>
      <c r="O52" s="21" t="str">
        <f aca="false">IF(COUNT($D52:$E52)=0,"",IF(AND(MIN($D52:$E52)&lt;=O$9+6,MAX($D52:$E52)&gt;=O$9),1,""))</f>
        <v/>
      </c>
      <c r="P52" s="21" t="str">
        <f aca="false">IF(COUNT($D52:$E52)=0,"",IF(AND(MIN($D52:$E52)&lt;=P$9+6,MAX($D52:$E52)&gt;=P$9),1,""))</f>
        <v/>
      </c>
      <c r="Q52" s="22" t="s">
        <v>188</v>
      </c>
      <c r="R52" s="19" t="s">
        <v>189</v>
      </c>
    </row>
    <row r="53" customFormat="false" ht="19.5" hidden="false" customHeight="true" outlineLevel="0" collapsed="false">
      <c r="A53" s="17" t="s">
        <v>190</v>
      </c>
      <c r="B53" s="17"/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</row>
    <row r="54" customFormat="false" ht="30" hidden="false" customHeight="true" outlineLevel="0" collapsed="false">
      <c r="A54" s="18" t="s">
        <v>191</v>
      </c>
      <c r="B54" s="19" t="s">
        <v>192</v>
      </c>
      <c r="C54" s="19" t="s">
        <v>193</v>
      </c>
      <c r="D54" s="20" t="n">
        <v>46322</v>
      </c>
      <c r="E54" s="20" t="n">
        <v>46323</v>
      </c>
      <c r="F54" s="18" t="s">
        <v>15</v>
      </c>
      <c r="G54" s="18" t="s">
        <v>47</v>
      </c>
      <c r="H54" s="21" t="n">
        <f aca="false">IF(COUNT($D54:$E54)=0,"",IF(AND(MIN($D54:$E54)&lt;=H$9+6,MAX($D54:$E54)&gt;=H$9),1,""))</f>
        <v>1</v>
      </c>
      <c r="I54" s="21" t="str">
        <f aca="false">IF(COUNT($D54:$E54)=0,"",IF(AND(MIN($D54:$E54)&lt;=I$9+6,MAX($D54:$E54)&gt;=I$9),1,""))</f>
        <v/>
      </c>
      <c r="J54" s="21" t="str">
        <f aca="false">IF(COUNT($D54:$E54)=0,"",IF(AND(MIN($D54:$E54)&lt;=J$9+6,MAX($D54:$E54)&gt;=J$9),1,""))</f>
        <v/>
      </c>
      <c r="K54" s="21" t="str">
        <f aca="false">IF(COUNT($D54:$E54)=0,"",IF(AND(MIN($D54:$E54)&lt;=K$9+6,MAX($D54:$E54)&gt;=K$9),1,""))</f>
        <v/>
      </c>
      <c r="L54" s="21" t="str">
        <f aca="false">IF(COUNT($D54:$E54)=0,"",IF(AND(MIN($D54:$E54)&lt;=L$9+6,MAX($D54:$E54)&gt;=L$9),1,""))</f>
        <v/>
      </c>
      <c r="M54" s="21" t="str">
        <f aca="false">IF(COUNT($D54:$E54)=0,"",IF(AND(MIN($D54:$E54)&lt;=M$9+6,MAX($D54:$E54)&gt;=M$9),1,""))</f>
        <v/>
      </c>
      <c r="N54" s="21" t="str">
        <f aca="false">IF(COUNT($D54:$E54)=0,"",IF(AND(MIN($D54:$E54)&lt;=N$9+6,MAX($D54:$E54)&gt;=N$9),1,""))</f>
        <v/>
      </c>
      <c r="O54" s="21" t="str">
        <f aca="false">IF(COUNT($D54:$E54)=0,"",IF(AND(MIN($D54:$E54)&lt;=O$9+6,MAX($D54:$E54)&gt;=O$9),1,""))</f>
        <v/>
      </c>
      <c r="P54" s="21" t="str">
        <f aca="false">IF(COUNT($D54:$E54)=0,"",IF(AND(MIN($D54:$E54)&lt;=P$9+6,MAX($D54:$E54)&gt;=P$9),1,""))</f>
        <v/>
      </c>
      <c r="Q54" s="22" t="s">
        <v>38</v>
      </c>
      <c r="R54" s="19" t="s">
        <v>194</v>
      </c>
    </row>
    <row r="55" customFormat="false" ht="30" hidden="false" customHeight="true" outlineLevel="0" collapsed="false">
      <c r="A55" s="18" t="s">
        <v>195</v>
      </c>
      <c r="B55" s="19" t="s">
        <v>196</v>
      </c>
      <c r="C55" s="19" t="s">
        <v>197</v>
      </c>
      <c r="D55" s="20"/>
      <c r="E55" s="20" t="n">
        <v>46325</v>
      </c>
      <c r="F55" s="18" t="s">
        <v>10</v>
      </c>
      <c r="G55" s="18" t="s">
        <v>91</v>
      </c>
      <c r="H55" s="21" t="n">
        <f aca="false">IF(COUNT($D55:$E55)=0,"",IF(AND(MIN($D55:$E55)&lt;=H$9+6,MAX($D55:$E55)&gt;=H$9),1,""))</f>
        <v>1</v>
      </c>
      <c r="I55" s="21" t="str">
        <f aca="false">IF(COUNT($D55:$E55)=0,"",IF(AND(MIN($D55:$E55)&lt;=I$9+6,MAX($D55:$E55)&gt;=I$9),1,""))</f>
        <v/>
      </c>
      <c r="J55" s="21" t="str">
        <f aca="false">IF(COUNT($D55:$E55)=0,"",IF(AND(MIN($D55:$E55)&lt;=J$9+6,MAX($D55:$E55)&gt;=J$9),1,""))</f>
        <v/>
      </c>
      <c r="K55" s="21" t="str">
        <f aca="false">IF(COUNT($D55:$E55)=0,"",IF(AND(MIN($D55:$E55)&lt;=K$9+6,MAX($D55:$E55)&gt;=K$9),1,""))</f>
        <v/>
      </c>
      <c r="L55" s="21" t="str">
        <f aca="false">IF(COUNT($D55:$E55)=0,"",IF(AND(MIN($D55:$E55)&lt;=L$9+6,MAX($D55:$E55)&gt;=L$9),1,""))</f>
        <v/>
      </c>
      <c r="M55" s="21" t="str">
        <f aca="false">IF(COUNT($D55:$E55)=0,"",IF(AND(MIN($D55:$E55)&lt;=M$9+6,MAX($D55:$E55)&gt;=M$9),1,""))</f>
        <v/>
      </c>
      <c r="N55" s="21" t="str">
        <f aca="false">IF(COUNT($D55:$E55)=0,"",IF(AND(MIN($D55:$E55)&lt;=N$9+6,MAX($D55:$E55)&gt;=N$9),1,""))</f>
        <v/>
      </c>
      <c r="O55" s="21" t="str">
        <f aca="false">IF(COUNT($D55:$E55)=0,"",IF(AND(MIN($D55:$E55)&lt;=O$9+6,MAX($D55:$E55)&gt;=O$9),1,""))</f>
        <v/>
      </c>
      <c r="P55" s="21" t="str">
        <f aca="false">IF(COUNT($D55:$E55)=0,"",IF(AND(MIN($D55:$E55)&lt;=P$9+6,MAX($D55:$E55)&gt;=P$9),1,""))</f>
        <v/>
      </c>
      <c r="Q55" s="22" t="s">
        <v>198</v>
      </c>
      <c r="R55" s="19" t="s">
        <v>199</v>
      </c>
    </row>
    <row r="56" customFormat="false" ht="30" hidden="false" customHeight="true" outlineLevel="0" collapsed="false">
      <c r="A56" s="18" t="s">
        <v>195</v>
      </c>
      <c r="B56" s="19" t="s">
        <v>200</v>
      </c>
      <c r="C56" s="19" t="s">
        <v>201</v>
      </c>
      <c r="D56" s="20" t="n">
        <v>46328</v>
      </c>
      <c r="E56" s="20" t="n">
        <v>46339</v>
      </c>
      <c r="F56" s="18" t="s">
        <v>15</v>
      </c>
      <c r="G56" s="18" t="s">
        <v>47</v>
      </c>
      <c r="H56" s="21" t="str">
        <f aca="false">IF(COUNT($D56:$E56)=0,"",IF(AND(MIN($D56:$E56)&lt;=H$9+6,MAX($D56:$E56)&gt;=H$9),1,""))</f>
        <v/>
      </c>
      <c r="I56" s="21" t="n">
        <f aca="false">IF(COUNT($D56:$E56)=0,"",IF(AND(MIN($D56:$E56)&lt;=I$9+6,MAX($D56:$E56)&gt;=I$9),1,""))</f>
        <v>1</v>
      </c>
      <c r="J56" s="21" t="n">
        <f aca="false">IF(COUNT($D56:$E56)=0,"",IF(AND(MIN($D56:$E56)&lt;=J$9+6,MAX($D56:$E56)&gt;=J$9),1,""))</f>
        <v>1</v>
      </c>
      <c r="K56" s="21" t="str">
        <f aca="false">IF(COUNT($D56:$E56)=0,"",IF(AND(MIN($D56:$E56)&lt;=K$9+6,MAX($D56:$E56)&gt;=K$9),1,""))</f>
        <v/>
      </c>
      <c r="L56" s="21" t="str">
        <f aca="false">IF(COUNT($D56:$E56)=0,"",IF(AND(MIN($D56:$E56)&lt;=L$9+6,MAX($D56:$E56)&gt;=L$9),1,""))</f>
        <v/>
      </c>
      <c r="M56" s="21" t="str">
        <f aca="false">IF(COUNT($D56:$E56)=0,"",IF(AND(MIN($D56:$E56)&lt;=M$9+6,MAX($D56:$E56)&gt;=M$9),1,""))</f>
        <v/>
      </c>
      <c r="N56" s="21" t="str">
        <f aca="false">IF(COUNT($D56:$E56)=0,"",IF(AND(MIN($D56:$E56)&lt;=N$9+6,MAX($D56:$E56)&gt;=N$9),1,""))</f>
        <v/>
      </c>
      <c r="O56" s="21" t="str">
        <f aca="false">IF(COUNT($D56:$E56)=0,"",IF(AND(MIN($D56:$E56)&lt;=O$9+6,MAX($D56:$E56)&gt;=O$9),1,""))</f>
        <v/>
      </c>
      <c r="P56" s="21" t="str">
        <f aca="false">IF(COUNT($D56:$E56)=0,"",IF(AND(MIN($D56:$E56)&lt;=P$9+6,MAX($D56:$E56)&gt;=P$9),1,""))</f>
        <v/>
      </c>
      <c r="Q56" s="22" t="s">
        <v>202</v>
      </c>
      <c r="R56" s="19" t="s">
        <v>203</v>
      </c>
    </row>
    <row r="57" customFormat="false" ht="30" hidden="false" customHeight="true" outlineLevel="0" collapsed="false">
      <c r="A57" s="18" t="s">
        <v>195</v>
      </c>
      <c r="B57" s="19" t="s">
        <v>204</v>
      </c>
      <c r="C57" s="19" t="s">
        <v>205</v>
      </c>
      <c r="D57" s="20" t="n">
        <v>46322</v>
      </c>
      <c r="E57" s="20" t="n">
        <v>46325</v>
      </c>
      <c r="F57" s="18" t="s">
        <v>15</v>
      </c>
      <c r="G57" s="18" t="s">
        <v>42</v>
      </c>
      <c r="H57" s="21" t="n">
        <f aca="false">IF(COUNT($D57:$E57)=0,"",IF(AND(MIN($D57:$E57)&lt;=H$9+6,MAX($D57:$E57)&gt;=H$9),1,""))</f>
        <v>1</v>
      </c>
      <c r="I57" s="21" t="str">
        <f aca="false">IF(COUNT($D57:$E57)=0,"",IF(AND(MIN($D57:$E57)&lt;=I$9+6,MAX($D57:$E57)&gt;=I$9),1,""))</f>
        <v/>
      </c>
      <c r="J57" s="21" t="str">
        <f aca="false">IF(COUNT($D57:$E57)=0,"",IF(AND(MIN($D57:$E57)&lt;=J$9+6,MAX($D57:$E57)&gt;=J$9),1,""))</f>
        <v/>
      </c>
      <c r="K57" s="21" t="str">
        <f aca="false">IF(COUNT($D57:$E57)=0,"",IF(AND(MIN($D57:$E57)&lt;=K$9+6,MAX($D57:$E57)&gt;=K$9),1,""))</f>
        <v/>
      </c>
      <c r="L57" s="21" t="str">
        <f aca="false">IF(COUNT($D57:$E57)=0,"",IF(AND(MIN($D57:$E57)&lt;=L$9+6,MAX($D57:$E57)&gt;=L$9),1,""))</f>
        <v/>
      </c>
      <c r="M57" s="21" t="str">
        <f aca="false">IF(COUNT($D57:$E57)=0,"",IF(AND(MIN($D57:$E57)&lt;=M$9+6,MAX($D57:$E57)&gt;=M$9),1,""))</f>
        <v/>
      </c>
      <c r="N57" s="21" t="str">
        <f aca="false">IF(COUNT($D57:$E57)=0,"",IF(AND(MIN($D57:$E57)&lt;=N$9+6,MAX($D57:$E57)&gt;=N$9),1,""))</f>
        <v/>
      </c>
      <c r="O57" s="21" t="str">
        <f aca="false">IF(COUNT($D57:$E57)=0,"",IF(AND(MIN($D57:$E57)&lt;=O$9+6,MAX($D57:$E57)&gt;=O$9),1,""))</f>
        <v/>
      </c>
      <c r="P57" s="21" t="str">
        <f aca="false">IF(COUNT($D57:$E57)=0,"",IF(AND(MIN($D57:$E57)&lt;=P$9+6,MAX($D57:$E57)&gt;=P$9),1,""))</f>
        <v/>
      </c>
      <c r="Q57" s="22" t="s">
        <v>206</v>
      </c>
      <c r="R57" s="19" t="s">
        <v>207</v>
      </c>
    </row>
    <row r="58" customFormat="false" ht="30" hidden="false" customHeight="true" outlineLevel="0" collapsed="false">
      <c r="A58" s="18" t="s">
        <v>191</v>
      </c>
      <c r="B58" s="19" t="s">
        <v>208</v>
      </c>
      <c r="C58" s="19" t="s">
        <v>41</v>
      </c>
      <c r="D58" s="20" t="n">
        <v>46329</v>
      </c>
      <c r="E58" s="20" t="n">
        <v>46336</v>
      </c>
      <c r="F58" s="18" t="s">
        <v>10</v>
      </c>
      <c r="G58" s="18" t="s">
        <v>47</v>
      </c>
      <c r="H58" s="21" t="str">
        <f aca="false">IF(COUNT($D58:$E58)=0,"",IF(AND(MIN($D58:$E58)&lt;=H$9+6,MAX($D58:$E58)&gt;=H$9),1,""))</f>
        <v/>
      </c>
      <c r="I58" s="21" t="n">
        <f aca="false">IF(COUNT($D58:$E58)=0,"",IF(AND(MIN($D58:$E58)&lt;=I$9+6,MAX($D58:$E58)&gt;=I$9),1,""))</f>
        <v>1</v>
      </c>
      <c r="J58" s="21" t="n">
        <f aca="false">IF(COUNT($D58:$E58)=0,"",IF(AND(MIN($D58:$E58)&lt;=J$9+6,MAX($D58:$E58)&gt;=J$9),1,""))</f>
        <v>1</v>
      </c>
      <c r="K58" s="21" t="str">
        <f aca="false">IF(COUNT($D58:$E58)=0,"",IF(AND(MIN($D58:$E58)&lt;=K$9+6,MAX($D58:$E58)&gt;=K$9),1,""))</f>
        <v/>
      </c>
      <c r="L58" s="21" t="str">
        <f aca="false">IF(COUNT($D58:$E58)=0,"",IF(AND(MIN($D58:$E58)&lt;=L$9+6,MAX($D58:$E58)&gt;=L$9),1,""))</f>
        <v/>
      </c>
      <c r="M58" s="21" t="str">
        <f aca="false">IF(COUNT($D58:$E58)=0,"",IF(AND(MIN($D58:$E58)&lt;=M$9+6,MAX($D58:$E58)&gt;=M$9),1,""))</f>
        <v/>
      </c>
      <c r="N58" s="21" t="str">
        <f aca="false">IF(COUNT($D58:$E58)=0,"",IF(AND(MIN($D58:$E58)&lt;=N$9+6,MAX($D58:$E58)&gt;=N$9),1,""))</f>
        <v/>
      </c>
      <c r="O58" s="21" t="str">
        <f aca="false">IF(COUNT($D58:$E58)=0,"",IF(AND(MIN($D58:$E58)&lt;=O$9+6,MAX($D58:$E58)&gt;=O$9),1,""))</f>
        <v/>
      </c>
      <c r="P58" s="21" t="str">
        <f aca="false">IF(COUNT($D58:$E58)=0,"",IF(AND(MIN($D58:$E58)&lt;=P$9+6,MAX($D58:$E58)&gt;=P$9),1,""))</f>
        <v/>
      </c>
      <c r="Q58" s="22" t="s">
        <v>209</v>
      </c>
      <c r="R58" s="19" t="s">
        <v>210</v>
      </c>
    </row>
    <row r="59" customFormat="false" ht="30" hidden="false" customHeight="true" outlineLevel="0" collapsed="false">
      <c r="A59" s="18" t="s">
        <v>191</v>
      </c>
      <c r="B59" s="19" t="s">
        <v>211</v>
      </c>
      <c r="C59" s="19" t="s">
        <v>212</v>
      </c>
      <c r="D59" s="20"/>
      <c r="E59" s="20" t="n">
        <v>46359</v>
      </c>
      <c r="F59" s="18" t="s">
        <v>10</v>
      </c>
      <c r="G59" s="18" t="s">
        <v>42</v>
      </c>
      <c r="H59" s="21" t="str">
        <f aca="false">IF(COUNT($D59:$E59)=0,"",IF(AND(MIN($D59:$E59)&lt;=H$9+6,MAX($D59:$E59)&gt;=H$9),1,""))</f>
        <v/>
      </c>
      <c r="I59" s="21" t="str">
        <f aca="false">IF(COUNT($D59:$E59)=0,"",IF(AND(MIN($D59:$E59)&lt;=I$9+6,MAX($D59:$E59)&gt;=I$9),1,""))</f>
        <v/>
      </c>
      <c r="J59" s="21" t="str">
        <f aca="false">IF(COUNT($D59:$E59)=0,"",IF(AND(MIN($D59:$E59)&lt;=J$9+6,MAX($D59:$E59)&gt;=J$9),1,""))</f>
        <v/>
      </c>
      <c r="K59" s="21" t="str">
        <f aca="false">IF(COUNT($D59:$E59)=0,"",IF(AND(MIN($D59:$E59)&lt;=K$9+6,MAX($D59:$E59)&gt;=K$9),1,""))</f>
        <v/>
      </c>
      <c r="L59" s="21" t="str">
        <f aca="false">IF(COUNT($D59:$E59)=0,"",IF(AND(MIN($D59:$E59)&lt;=L$9+6,MAX($D59:$E59)&gt;=L$9),1,""))</f>
        <v/>
      </c>
      <c r="M59" s="21" t="n">
        <f aca="false">IF(COUNT($D59:$E59)=0,"",IF(AND(MIN($D59:$E59)&lt;=M$9+6,MAX($D59:$E59)&gt;=M$9),1,""))</f>
        <v>1</v>
      </c>
      <c r="N59" s="21" t="str">
        <f aca="false">IF(COUNT($D59:$E59)=0,"",IF(AND(MIN($D59:$E59)&lt;=N$9+6,MAX($D59:$E59)&gt;=N$9),1,""))</f>
        <v/>
      </c>
      <c r="O59" s="21" t="str">
        <f aca="false">IF(COUNT($D59:$E59)=0,"",IF(AND(MIN($D59:$E59)&lt;=O$9+6,MAX($D59:$E59)&gt;=O$9),1,""))</f>
        <v/>
      </c>
      <c r="P59" s="21" t="str">
        <f aca="false">IF(COUNT($D59:$E59)=0,"",IF(AND(MIN($D59:$E59)&lt;=P$9+6,MAX($D59:$E59)&gt;=P$9),1,""))</f>
        <v/>
      </c>
      <c r="Q59" s="22" t="s">
        <v>213</v>
      </c>
      <c r="R59" s="19" t="s">
        <v>214</v>
      </c>
    </row>
    <row r="60" customFormat="false" ht="30" hidden="false" customHeight="true" outlineLevel="0" collapsed="false">
      <c r="A60" s="18" t="s">
        <v>215</v>
      </c>
      <c r="B60" s="19" t="s">
        <v>216</v>
      </c>
      <c r="C60" s="19" t="s">
        <v>217</v>
      </c>
      <c r="D60" s="20" t="n">
        <v>46336</v>
      </c>
      <c r="E60" s="20" t="n">
        <v>46346</v>
      </c>
      <c r="F60" s="18" t="s">
        <v>15</v>
      </c>
      <c r="G60" s="18" t="s">
        <v>42</v>
      </c>
      <c r="H60" s="21" t="str">
        <f aca="false">IF(COUNT($D60:$E60)=0,"",IF(AND(MIN($D60:$E60)&lt;=H$9+6,MAX($D60:$E60)&gt;=H$9),1,""))</f>
        <v/>
      </c>
      <c r="I60" s="21" t="str">
        <f aca="false">IF(COUNT($D60:$E60)=0,"",IF(AND(MIN($D60:$E60)&lt;=I$9+6,MAX($D60:$E60)&gt;=I$9),1,""))</f>
        <v/>
      </c>
      <c r="J60" s="21" t="n">
        <f aca="false">IF(COUNT($D60:$E60)=0,"",IF(AND(MIN($D60:$E60)&lt;=J$9+6,MAX($D60:$E60)&gt;=J$9),1,""))</f>
        <v>1</v>
      </c>
      <c r="K60" s="21" t="n">
        <f aca="false">IF(COUNT($D60:$E60)=0,"",IF(AND(MIN($D60:$E60)&lt;=K$9+6,MAX($D60:$E60)&gt;=K$9),1,""))</f>
        <v>1</v>
      </c>
      <c r="L60" s="21" t="str">
        <f aca="false">IF(COUNT($D60:$E60)=0,"",IF(AND(MIN($D60:$E60)&lt;=L$9+6,MAX($D60:$E60)&gt;=L$9),1,""))</f>
        <v/>
      </c>
      <c r="M60" s="21" t="str">
        <f aca="false">IF(COUNT($D60:$E60)=0,"",IF(AND(MIN($D60:$E60)&lt;=M$9+6,MAX($D60:$E60)&gt;=M$9),1,""))</f>
        <v/>
      </c>
      <c r="N60" s="21" t="str">
        <f aca="false">IF(COUNT($D60:$E60)=0,"",IF(AND(MIN($D60:$E60)&lt;=N$9+6,MAX($D60:$E60)&gt;=N$9),1,""))</f>
        <v/>
      </c>
      <c r="O60" s="21" t="str">
        <f aca="false">IF(COUNT($D60:$E60)=0,"",IF(AND(MIN($D60:$E60)&lt;=O$9+6,MAX($D60:$E60)&gt;=O$9),1,""))</f>
        <v/>
      </c>
      <c r="P60" s="21" t="str">
        <f aca="false">IF(COUNT($D60:$E60)=0,"",IF(AND(MIN($D60:$E60)&lt;=P$9+6,MAX($D60:$E60)&gt;=P$9),1,""))</f>
        <v/>
      </c>
      <c r="Q60" s="22" t="s">
        <v>218</v>
      </c>
      <c r="R60" s="19" t="s">
        <v>219</v>
      </c>
    </row>
    <row r="61" customFormat="false" ht="30" hidden="false" customHeight="true" outlineLevel="0" collapsed="false">
      <c r="A61" s="18" t="s">
        <v>195</v>
      </c>
      <c r="B61" s="19" t="s">
        <v>220</v>
      </c>
      <c r="C61" s="19" t="s">
        <v>221</v>
      </c>
      <c r="D61" s="20"/>
      <c r="E61" s="20" t="n">
        <v>46346</v>
      </c>
      <c r="F61" s="18" t="s">
        <v>10</v>
      </c>
      <c r="G61" s="18" t="s">
        <v>42</v>
      </c>
      <c r="H61" s="21" t="str">
        <f aca="false">IF(COUNT($D61:$E61)=0,"",IF(AND(MIN($D61:$E61)&lt;=H$9+6,MAX($D61:$E61)&gt;=H$9),1,""))</f>
        <v/>
      </c>
      <c r="I61" s="21" t="str">
        <f aca="false">IF(COUNT($D61:$E61)=0,"",IF(AND(MIN($D61:$E61)&lt;=I$9+6,MAX($D61:$E61)&gt;=I$9),1,""))</f>
        <v/>
      </c>
      <c r="J61" s="21" t="str">
        <f aca="false">IF(COUNT($D61:$E61)=0,"",IF(AND(MIN($D61:$E61)&lt;=J$9+6,MAX($D61:$E61)&gt;=J$9),1,""))</f>
        <v/>
      </c>
      <c r="K61" s="21" t="n">
        <f aca="false">IF(COUNT($D61:$E61)=0,"",IF(AND(MIN($D61:$E61)&lt;=K$9+6,MAX($D61:$E61)&gt;=K$9),1,""))</f>
        <v>1</v>
      </c>
      <c r="L61" s="21" t="str">
        <f aca="false">IF(COUNT($D61:$E61)=0,"",IF(AND(MIN($D61:$E61)&lt;=L$9+6,MAX($D61:$E61)&gt;=L$9),1,""))</f>
        <v/>
      </c>
      <c r="M61" s="21" t="str">
        <f aca="false">IF(COUNT($D61:$E61)=0,"",IF(AND(MIN($D61:$E61)&lt;=M$9+6,MAX($D61:$E61)&gt;=M$9),1,""))</f>
        <v/>
      </c>
      <c r="N61" s="21" t="str">
        <f aca="false">IF(COUNT($D61:$E61)=0,"",IF(AND(MIN($D61:$E61)&lt;=N$9+6,MAX($D61:$E61)&gt;=N$9),1,""))</f>
        <v/>
      </c>
      <c r="O61" s="21" t="str">
        <f aca="false">IF(COUNT($D61:$E61)=0,"",IF(AND(MIN($D61:$E61)&lt;=O$9+6,MAX($D61:$E61)&gt;=O$9),1,""))</f>
        <v/>
      </c>
      <c r="P61" s="21" t="str">
        <f aca="false">IF(COUNT($D61:$E61)=0,"",IF(AND(MIN($D61:$E61)&lt;=P$9+6,MAX($D61:$E61)&gt;=P$9),1,""))</f>
        <v/>
      </c>
      <c r="Q61" s="22" t="s">
        <v>222</v>
      </c>
      <c r="R61" s="19" t="s">
        <v>223</v>
      </c>
    </row>
    <row r="62" customFormat="false" ht="30" hidden="false" customHeight="true" outlineLevel="0" collapsed="false">
      <c r="A62" s="18" t="s">
        <v>191</v>
      </c>
      <c r="B62" s="19" t="s">
        <v>224</v>
      </c>
      <c r="C62" s="19" t="s">
        <v>225</v>
      </c>
      <c r="D62" s="20"/>
      <c r="E62" s="20" t="n">
        <v>46359</v>
      </c>
      <c r="F62" s="18" t="s">
        <v>10</v>
      </c>
      <c r="G62" s="18" t="s">
        <v>91</v>
      </c>
      <c r="H62" s="21" t="str">
        <f aca="false">IF(COUNT($D62:$E62)=0,"",IF(AND(MIN($D62:$E62)&lt;=H$9+6,MAX($D62:$E62)&gt;=H$9),1,""))</f>
        <v/>
      </c>
      <c r="I62" s="21" t="str">
        <f aca="false">IF(COUNT($D62:$E62)=0,"",IF(AND(MIN($D62:$E62)&lt;=I$9+6,MAX($D62:$E62)&gt;=I$9),1,""))</f>
        <v/>
      </c>
      <c r="J62" s="21" t="str">
        <f aca="false">IF(COUNT($D62:$E62)=0,"",IF(AND(MIN($D62:$E62)&lt;=J$9+6,MAX($D62:$E62)&gt;=J$9),1,""))</f>
        <v/>
      </c>
      <c r="K62" s="21" t="str">
        <f aca="false">IF(COUNT($D62:$E62)=0,"",IF(AND(MIN($D62:$E62)&lt;=K$9+6,MAX($D62:$E62)&gt;=K$9),1,""))</f>
        <v/>
      </c>
      <c r="L62" s="21" t="str">
        <f aca="false">IF(COUNT($D62:$E62)=0,"",IF(AND(MIN($D62:$E62)&lt;=L$9+6,MAX($D62:$E62)&gt;=L$9),1,""))</f>
        <v/>
      </c>
      <c r="M62" s="21" t="n">
        <f aca="false">IF(COUNT($D62:$E62)=0,"",IF(AND(MIN($D62:$E62)&lt;=M$9+6,MAX($D62:$E62)&gt;=M$9),1,""))</f>
        <v>1</v>
      </c>
      <c r="N62" s="21" t="str">
        <f aca="false">IF(COUNT($D62:$E62)=0,"",IF(AND(MIN($D62:$E62)&lt;=N$9+6,MAX($D62:$E62)&gt;=N$9),1,""))</f>
        <v/>
      </c>
      <c r="O62" s="21" t="str">
        <f aca="false">IF(COUNT($D62:$E62)=0,"",IF(AND(MIN($D62:$E62)&lt;=O$9+6,MAX($D62:$E62)&gt;=O$9),1,""))</f>
        <v/>
      </c>
      <c r="P62" s="21" t="str">
        <f aca="false">IF(COUNT($D62:$E62)=0,"",IF(AND(MIN($D62:$E62)&lt;=P$9+6,MAX($D62:$E62)&gt;=P$9),1,""))</f>
        <v/>
      </c>
      <c r="Q62" s="22" t="s">
        <v>226</v>
      </c>
      <c r="R62" s="19" t="s">
        <v>227</v>
      </c>
    </row>
    <row r="63" customFormat="false" ht="30" hidden="false" customHeight="true" outlineLevel="0" collapsed="false">
      <c r="A63" s="18" t="s">
        <v>191</v>
      </c>
      <c r="B63" s="19" t="s">
        <v>228</v>
      </c>
      <c r="C63" s="19" t="s">
        <v>225</v>
      </c>
      <c r="D63" s="20"/>
      <c r="E63" s="20" t="n">
        <v>46346</v>
      </c>
      <c r="F63" s="18" t="s">
        <v>15</v>
      </c>
      <c r="G63" s="18" t="s">
        <v>42</v>
      </c>
      <c r="H63" s="21" t="str">
        <f aca="false">IF(COUNT($D63:$E63)=0,"",IF(AND(MIN($D63:$E63)&lt;=H$9+6,MAX($D63:$E63)&gt;=H$9),1,""))</f>
        <v/>
      </c>
      <c r="I63" s="21" t="str">
        <f aca="false">IF(COUNT($D63:$E63)=0,"",IF(AND(MIN($D63:$E63)&lt;=I$9+6,MAX($D63:$E63)&gt;=I$9),1,""))</f>
        <v/>
      </c>
      <c r="J63" s="21" t="str">
        <f aca="false">IF(COUNT($D63:$E63)=0,"",IF(AND(MIN($D63:$E63)&lt;=J$9+6,MAX($D63:$E63)&gt;=J$9),1,""))</f>
        <v/>
      </c>
      <c r="K63" s="21" t="n">
        <f aca="false">IF(COUNT($D63:$E63)=0,"",IF(AND(MIN($D63:$E63)&lt;=K$9+6,MAX($D63:$E63)&gt;=K$9),1,""))</f>
        <v>1</v>
      </c>
      <c r="L63" s="21" t="str">
        <f aca="false">IF(COUNT($D63:$E63)=0,"",IF(AND(MIN($D63:$E63)&lt;=L$9+6,MAX($D63:$E63)&gt;=L$9),1,""))</f>
        <v/>
      </c>
      <c r="M63" s="21" t="str">
        <f aca="false">IF(COUNT($D63:$E63)=0,"",IF(AND(MIN($D63:$E63)&lt;=M$9+6,MAX($D63:$E63)&gt;=M$9),1,""))</f>
        <v/>
      </c>
      <c r="N63" s="21" t="str">
        <f aca="false">IF(COUNT($D63:$E63)=0,"",IF(AND(MIN($D63:$E63)&lt;=N$9+6,MAX($D63:$E63)&gt;=N$9),1,""))</f>
        <v/>
      </c>
      <c r="O63" s="21" t="str">
        <f aca="false">IF(COUNT($D63:$E63)=0,"",IF(AND(MIN($D63:$E63)&lt;=O$9+6,MAX($D63:$E63)&gt;=O$9),1,""))</f>
        <v/>
      </c>
      <c r="P63" s="21" t="str">
        <f aca="false">IF(COUNT($D63:$E63)=0,"",IF(AND(MIN($D63:$E63)&lt;=P$9+6,MAX($D63:$E63)&gt;=P$9),1,""))</f>
        <v/>
      </c>
      <c r="Q63" s="22" t="s">
        <v>229</v>
      </c>
      <c r="R63" s="19" t="s">
        <v>230</v>
      </c>
    </row>
    <row r="64" customFormat="false" ht="30" hidden="false" customHeight="true" outlineLevel="0" collapsed="false">
      <c r="A64" s="18" t="s">
        <v>191</v>
      </c>
      <c r="B64" s="19" t="s">
        <v>231</v>
      </c>
      <c r="C64" s="19" t="s">
        <v>232</v>
      </c>
      <c r="D64" s="20" t="n">
        <v>46322</v>
      </c>
      <c r="E64" s="20" t="n">
        <v>46346</v>
      </c>
      <c r="F64" s="18" t="s">
        <v>15</v>
      </c>
      <c r="G64" s="18" t="s">
        <v>91</v>
      </c>
      <c r="H64" s="21" t="n">
        <f aca="false">IF(COUNT($D64:$E64)=0,"",IF(AND(MIN($D64:$E64)&lt;=H$9+6,MAX($D64:$E64)&gt;=H$9),1,""))</f>
        <v>1</v>
      </c>
      <c r="I64" s="21" t="n">
        <f aca="false">IF(COUNT($D64:$E64)=0,"",IF(AND(MIN($D64:$E64)&lt;=I$9+6,MAX($D64:$E64)&gt;=I$9),1,""))</f>
        <v>1</v>
      </c>
      <c r="J64" s="21" t="n">
        <f aca="false">IF(COUNT($D64:$E64)=0,"",IF(AND(MIN($D64:$E64)&lt;=J$9+6,MAX($D64:$E64)&gt;=J$9),1,""))</f>
        <v>1</v>
      </c>
      <c r="K64" s="21" t="n">
        <f aca="false">IF(COUNT($D64:$E64)=0,"",IF(AND(MIN($D64:$E64)&lt;=K$9+6,MAX($D64:$E64)&gt;=K$9),1,""))</f>
        <v>1</v>
      </c>
      <c r="L64" s="21" t="str">
        <f aca="false">IF(COUNT($D64:$E64)=0,"",IF(AND(MIN($D64:$E64)&lt;=L$9+6,MAX($D64:$E64)&gt;=L$9),1,""))</f>
        <v/>
      </c>
      <c r="M64" s="21" t="str">
        <f aca="false">IF(COUNT($D64:$E64)=0,"",IF(AND(MIN($D64:$E64)&lt;=M$9+6,MAX($D64:$E64)&gt;=M$9),1,""))</f>
        <v/>
      </c>
      <c r="N64" s="21" t="str">
        <f aca="false">IF(COUNT($D64:$E64)=0,"",IF(AND(MIN($D64:$E64)&lt;=N$9+6,MAX($D64:$E64)&gt;=N$9),1,""))</f>
        <v/>
      </c>
      <c r="O64" s="21" t="str">
        <f aca="false">IF(COUNT($D64:$E64)=0,"",IF(AND(MIN($D64:$E64)&lt;=O$9+6,MAX($D64:$E64)&gt;=O$9),1,""))</f>
        <v/>
      </c>
      <c r="P64" s="21" t="str">
        <f aca="false">IF(COUNT($D64:$E64)=0,"",IF(AND(MIN($D64:$E64)&lt;=P$9+6,MAX($D64:$E64)&gt;=P$9),1,""))</f>
        <v/>
      </c>
      <c r="Q64" s="22" t="s">
        <v>233</v>
      </c>
      <c r="R64" s="19" t="s">
        <v>234</v>
      </c>
    </row>
    <row r="65" customFormat="false" ht="30" hidden="false" customHeight="true" outlineLevel="0" collapsed="false">
      <c r="A65" s="18" t="s">
        <v>191</v>
      </c>
      <c r="B65" s="19" t="s">
        <v>235</v>
      </c>
      <c r="C65" s="19" t="s">
        <v>225</v>
      </c>
      <c r="D65" s="20"/>
      <c r="E65" s="20" t="n">
        <v>46346</v>
      </c>
      <c r="F65" s="18" t="s">
        <v>15</v>
      </c>
      <c r="G65" s="18" t="s">
        <v>42</v>
      </c>
      <c r="H65" s="21" t="str">
        <f aca="false">IF(COUNT($D65:$E65)=0,"",IF(AND(MIN($D65:$E65)&lt;=H$9+6,MAX($D65:$E65)&gt;=H$9),1,""))</f>
        <v/>
      </c>
      <c r="I65" s="21" t="str">
        <f aca="false">IF(COUNT($D65:$E65)=0,"",IF(AND(MIN($D65:$E65)&lt;=I$9+6,MAX($D65:$E65)&gt;=I$9),1,""))</f>
        <v/>
      </c>
      <c r="J65" s="21" t="str">
        <f aca="false">IF(COUNT($D65:$E65)=0,"",IF(AND(MIN($D65:$E65)&lt;=J$9+6,MAX($D65:$E65)&gt;=J$9),1,""))</f>
        <v/>
      </c>
      <c r="K65" s="21" t="n">
        <f aca="false">IF(COUNT($D65:$E65)=0,"",IF(AND(MIN($D65:$E65)&lt;=K$9+6,MAX($D65:$E65)&gt;=K$9),1,""))</f>
        <v>1</v>
      </c>
      <c r="L65" s="21" t="str">
        <f aca="false">IF(COUNT($D65:$E65)=0,"",IF(AND(MIN($D65:$E65)&lt;=L$9+6,MAX($D65:$E65)&gt;=L$9),1,""))</f>
        <v/>
      </c>
      <c r="M65" s="21" t="str">
        <f aca="false">IF(COUNT($D65:$E65)=0,"",IF(AND(MIN($D65:$E65)&lt;=M$9+6,MAX($D65:$E65)&gt;=M$9),1,""))</f>
        <v/>
      </c>
      <c r="N65" s="21" t="str">
        <f aca="false">IF(COUNT($D65:$E65)=0,"",IF(AND(MIN($D65:$E65)&lt;=N$9+6,MAX($D65:$E65)&gt;=N$9),1,""))</f>
        <v/>
      </c>
      <c r="O65" s="21" t="str">
        <f aca="false">IF(COUNT($D65:$E65)=0,"",IF(AND(MIN($D65:$E65)&lt;=O$9+6,MAX($D65:$E65)&gt;=O$9),1,""))</f>
        <v/>
      </c>
      <c r="P65" s="21" t="str">
        <f aca="false">IF(COUNT($D65:$E65)=0,"",IF(AND(MIN($D65:$E65)&lt;=P$9+6,MAX($D65:$E65)&gt;=P$9),1,""))</f>
        <v/>
      </c>
      <c r="Q65" s="22" t="s">
        <v>236</v>
      </c>
      <c r="R65" s="19" t="s">
        <v>237</v>
      </c>
    </row>
    <row r="66" customFormat="false" ht="30" hidden="false" customHeight="true" outlineLevel="0" collapsed="false">
      <c r="A66" s="18" t="s">
        <v>195</v>
      </c>
      <c r="B66" s="19" t="s">
        <v>238</v>
      </c>
      <c r="C66" s="19" t="s">
        <v>239</v>
      </c>
      <c r="D66" s="20" t="n">
        <v>46324</v>
      </c>
      <c r="E66" s="20" t="n">
        <v>46339</v>
      </c>
      <c r="F66" s="18" t="s">
        <v>15</v>
      </c>
      <c r="G66" s="18" t="s">
        <v>42</v>
      </c>
      <c r="H66" s="21" t="n">
        <f aca="false">IF(COUNT($D66:$E66)=0,"",IF(AND(MIN($D66:$E66)&lt;=H$9+6,MAX($D66:$E66)&gt;=H$9),1,""))</f>
        <v>1</v>
      </c>
      <c r="I66" s="21" t="n">
        <f aca="false">IF(COUNT($D66:$E66)=0,"",IF(AND(MIN($D66:$E66)&lt;=I$9+6,MAX($D66:$E66)&gt;=I$9),1,""))</f>
        <v>1</v>
      </c>
      <c r="J66" s="21" t="n">
        <f aca="false">IF(COUNT($D66:$E66)=0,"",IF(AND(MIN($D66:$E66)&lt;=J$9+6,MAX($D66:$E66)&gt;=J$9),1,""))</f>
        <v>1</v>
      </c>
      <c r="K66" s="21" t="str">
        <f aca="false">IF(COUNT($D66:$E66)=0,"",IF(AND(MIN($D66:$E66)&lt;=K$9+6,MAX($D66:$E66)&gt;=K$9),1,""))</f>
        <v/>
      </c>
      <c r="L66" s="21" t="str">
        <f aca="false">IF(COUNT($D66:$E66)=0,"",IF(AND(MIN($D66:$E66)&lt;=L$9+6,MAX($D66:$E66)&gt;=L$9),1,""))</f>
        <v/>
      </c>
      <c r="M66" s="21" t="str">
        <f aca="false">IF(COUNT($D66:$E66)=0,"",IF(AND(MIN($D66:$E66)&lt;=M$9+6,MAX($D66:$E66)&gt;=M$9),1,""))</f>
        <v/>
      </c>
      <c r="N66" s="21" t="str">
        <f aca="false">IF(COUNT($D66:$E66)=0,"",IF(AND(MIN($D66:$E66)&lt;=N$9+6,MAX($D66:$E66)&gt;=N$9),1,""))</f>
        <v/>
      </c>
      <c r="O66" s="21" t="str">
        <f aca="false">IF(COUNT($D66:$E66)=0,"",IF(AND(MIN($D66:$E66)&lt;=O$9+6,MAX($D66:$E66)&gt;=O$9),1,""))</f>
        <v/>
      </c>
      <c r="P66" s="21" t="str">
        <f aca="false">IF(COUNT($D66:$E66)=0,"",IF(AND(MIN($D66:$E66)&lt;=P$9+6,MAX($D66:$E66)&gt;=P$9),1,""))</f>
        <v/>
      </c>
      <c r="Q66" s="22" t="s">
        <v>240</v>
      </c>
      <c r="R66" s="19" t="s">
        <v>241</v>
      </c>
    </row>
    <row r="67" customFormat="false" ht="30" hidden="false" customHeight="true" outlineLevel="0" collapsed="false">
      <c r="A67" s="18" t="s">
        <v>195</v>
      </c>
      <c r="B67" s="19" t="s">
        <v>242</v>
      </c>
      <c r="C67" s="19" t="s">
        <v>239</v>
      </c>
      <c r="D67" s="20" t="n">
        <v>46324</v>
      </c>
      <c r="E67" s="20" t="n">
        <v>46346</v>
      </c>
      <c r="F67" s="18" t="s">
        <v>15</v>
      </c>
      <c r="G67" s="18" t="s">
        <v>42</v>
      </c>
      <c r="H67" s="21" t="n">
        <f aca="false">IF(COUNT($D67:$E67)=0,"",IF(AND(MIN($D67:$E67)&lt;=H$9+6,MAX($D67:$E67)&gt;=H$9),1,""))</f>
        <v>1</v>
      </c>
      <c r="I67" s="21" t="n">
        <f aca="false">IF(COUNT($D67:$E67)=0,"",IF(AND(MIN($D67:$E67)&lt;=I$9+6,MAX($D67:$E67)&gt;=I$9),1,""))</f>
        <v>1</v>
      </c>
      <c r="J67" s="21" t="n">
        <f aca="false">IF(COUNT($D67:$E67)=0,"",IF(AND(MIN($D67:$E67)&lt;=J$9+6,MAX($D67:$E67)&gt;=J$9),1,""))</f>
        <v>1</v>
      </c>
      <c r="K67" s="21" t="n">
        <f aca="false">IF(COUNT($D67:$E67)=0,"",IF(AND(MIN($D67:$E67)&lt;=K$9+6,MAX($D67:$E67)&gt;=K$9),1,""))</f>
        <v>1</v>
      </c>
      <c r="L67" s="21" t="str">
        <f aca="false">IF(COUNT($D67:$E67)=0,"",IF(AND(MIN($D67:$E67)&lt;=L$9+6,MAX($D67:$E67)&gt;=L$9),1,""))</f>
        <v/>
      </c>
      <c r="M67" s="21" t="str">
        <f aca="false">IF(COUNT($D67:$E67)=0,"",IF(AND(MIN($D67:$E67)&lt;=M$9+6,MAX($D67:$E67)&gt;=M$9),1,""))</f>
        <v/>
      </c>
      <c r="N67" s="21" t="str">
        <f aca="false">IF(COUNT($D67:$E67)=0,"",IF(AND(MIN($D67:$E67)&lt;=N$9+6,MAX($D67:$E67)&gt;=N$9),1,""))</f>
        <v/>
      </c>
      <c r="O67" s="21" t="str">
        <f aca="false">IF(COUNT($D67:$E67)=0,"",IF(AND(MIN($D67:$E67)&lt;=O$9+6,MAX($D67:$E67)&gt;=O$9),1,""))</f>
        <v/>
      </c>
      <c r="P67" s="21" t="str">
        <f aca="false">IF(COUNT($D67:$E67)=0,"",IF(AND(MIN($D67:$E67)&lt;=P$9+6,MAX($D67:$E67)&gt;=P$9),1,""))</f>
        <v/>
      </c>
      <c r="Q67" s="22" t="s">
        <v>243</v>
      </c>
      <c r="R67" s="19" t="s">
        <v>244</v>
      </c>
    </row>
    <row r="68" customFormat="false" ht="30" hidden="false" customHeight="true" outlineLevel="0" collapsed="false">
      <c r="A68" s="18" t="s">
        <v>195</v>
      </c>
      <c r="B68" s="19" t="s">
        <v>245</v>
      </c>
      <c r="C68" s="19" t="s">
        <v>239</v>
      </c>
      <c r="D68" s="20" t="n">
        <v>46324</v>
      </c>
      <c r="E68" s="20" t="n">
        <v>46346</v>
      </c>
      <c r="F68" s="18" t="s">
        <v>15</v>
      </c>
      <c r="G68" s="18" t="s">
        <v>42</v>
      </c>
      <c r="H68" s="21" t="n">
        <f aca="false">IF(COUNT($D68:$E68)=0,"",IF(AND(MIN($D68:$E68)&lt;=H$9+6,MAX($D68:$E68)&gt;=H$9),1,""))</f>
        <v>1</v>
      </c>
      <c r="I68" s="21" t="n">
        <f aca="false">IF(COUNT($D68:$E68)=0,"",IF(AND(MIN($D68:$E68)&lt;=I$9+6,MAX($D68:$E68)&gt;=I$9),1,""))</f>
        <v>1</v>
      </c>
      <c r="J68" s="21" t="n">
        <f aca="false">IF(COUNT($D68:$E68)=0,"",IF(AND(MIN($D68:$E68)&lt;=J$9+6,MAX($D68:$E68)&gt;=J$9),1,""))</f>
        <v>1</v>
      </c>
      <c r="K68" s="21" t="n">
        <f aca="false">IF(COUNT($D68:$E68)=0,"",IF(AND(MIN($D68:$E68)&lt;=K$9+6,MAX($D68:$E68)&gt;=K$9),1,""))</f>
        <v>1</v>
      </c>
      <c r="L68" s="21" t="str">
        <f aca="false">IF(COUNT($D68:$E68)=0,"",IF(AND(MIN($D68:$E68)&lt;=L$9+6,MAX($D68:$E68)&gt;=L$9),1,""))</f>
        <v/>
      </c>
      <c r="M68" s="21" t="str">
        <f aca="false">IF(COUNT($D68:$E68)=0,"",IF(AND(MIN($D68:$E68)&lt;=M$9+6,MAX($D68:$E68)&gt;=M$9),1,""))</f>
        <v/>
      </c>
      <c r="N68" s="21" t="str">
        <f aca="false">IF(COUNT($D68:$E68)=0,"",IF(AND(MIN($D68:$E68)&lt;=N$9+6,MAX($D68:$E68)&gt;=N$9),1,""))</f>
        <v/>
      </c>
      <c r="O68" s="21" t="str">
        <f aca="false">IF(COUNT($D68:$E68)=0,"",IF(AND(MIN($D68:$E68)&lt;=O$9+6,MAX($D68:$E68)&gt;=O$9),1,""))</f>
        <v/>
      </c>
      <c r="P68" s="21" t="str">
        <f aca="false">IF(COUNT($D68:$E68)=0,"",IF(AND(MIN($D68:$E68)&lt;=P$9+6,MAX($D68:$E68)&gt;=P$9),1,""))</f>
        <v/>
      </c>
      <c r="Q68" s="22" t="s">
        <v>246</v>
      </c>
      <c r="R68" s="19" t="s">
        <v>247</v>
      </c>
    </row>
    <row r="69" customFormat="false" ht="30" hidden="false" customHeight="true" outlineLevel="0" collapsed="false">
      <c r="A69" s="18" t="s">
        <v>195</v>
      </c>
      <c r="B69" s="19" t="s">
        <v>248</v>
      </c>
      <c r="C69" s="19" t="s">
        <v>201</v>
      </c>
      <c r="D69" s="20" t="n">
        <v>46328</v>
      </c>
      <c r="E69" s="20" t="n">
        <v>46353</v>
      </c>
      <c r="F69" s="18" t="s">
        <v>15</v>
      </c>
      <c r="G69" s="18" t="s">
        <v>47</v>
      </c>
      <c r="H69" s="21" t="str">
        <f aca="false">IF(COUNT($D69:$E69)=0,"",IF(AND(MIN($D69:$E69)&lt;=H$9+6,MAX($D69:$E69)&gt;=H$9),1,""))</f>
        <v/>
      </c>
      <c r="I69" s="21" t="n">
        <f aca="false">IF(COUNT($D69:$E69)=0,"",IF(AND(MIN($D69:$E69)&lt;=I$9+6,MAX($D69:$E69)&gt;=I$9),1,""))</f>
        <v>1</v>
      </c>
      <c r="J69" s="21" t="n">
        <f aca="false">IF(COUNT($D69:$E69)=0,"",IF(AND(MIN($D69:$E69)&lt;=J$9+6,MAX($D69:$E69)&gt;=J$9),1,""))</f>
        <v>1</v>
      </c>
      <c r="K69" s="21" t="n">
        <f aca="false">IF(COUNT($D69:$E69)=0,"",IF(AND(MIN($D69:$E69)&lt;=K$9+6,MAX($D69:$E69)&gt;=K$9),1,""))</f>
        <v>1</v>
      </c>
      <c r="L69" s="21" t="n">
        <f aca="false">IF(COUNT($D69:$E69)=0,"",IF(AND(MIN($D69:$E69)&lt;=L$9+6,MAX($D69:$E69)&gt;=L$9),1,""))</f>
        <v>1</v>
      </c>
      <c r="M69" s="21" t="str">
        <f aca="false">IF(COUNT($D69:$E69)=0,"",IF(AND(MIN($D69:$E69)&lt;=M$9+6,MAX($D69:$E69)&gt;=M$9),1,""))</f>
        <v/>
      </c>
      <c r="N69" s="21" t="str">
        <f aca="false">IF(COUNT($D69:$E69)=0,"",IF(AND(MIN($D69:$E69)&lt;=N$9+6,MAX($D69:$E69)&gt;=N$9),1,""))</f>
        <v/>
      </c>
      <c r="O69" s="21" t="str">
        <f aca="false">IF(COUNT($D69:$E69)=0,"",IF(AND(MIN($D69:$E69)&lt;=O$9+6,MAX($D69:$E69)&gt;=O$9),1,""))</f>
        <v/>
      </c>
      <c r="P69" s="21" t="str">
        <f aca="false">IF(COUNT($D69:$E69)=0,"",IF(AND(MIN($D69:$E69)&lt;=P$9+6,MAX($D69:$E69)&gt;=P$9),1,""))</f>
        <v/>
      </c>
      <c r="Q69" s="22" t="s">
        <v>249</v>
      </c>
      <c r="R69" s="19" t="s">
        <v>250</v>
      </c>
    </row>
    <row r="70" customFormat="false" ht="30" hidden="false" customHeight="true" outlineLevel="0" collapsed="false">
      <c r="A70" s="18" t="s">
        <v>191</v>
      </c>
      <c r="B70" s="19" t="s">
        <v>251</v>
      </c>
      <c r="C70" s="19" t="s">
        <v>252</v>
      </c>
      <c r="D70" s="20"/>
      <c r="E70" s="20" t="n">
        <v>46346</v>
      </c>
      <c r="F70" s="18" t="s">
        <v>15</v>
      </c>
      <c r="G70" s="18" t="s">
        <v>42</v>
      </c>
      <c r="H70" s="21" t="str">
        <f aca="false">IF(COUNT($D70:$E70)=0,"",IF(AND(MIN($D70:$E70)&lt;=H$9+6,MAX($D70:$E70)&gt;=H$9),1,""))</f>
        <v/>
      </c>
      <c r="I70" s="21" t="str">
        <f aca="false">IF(COUNT($D70:$E70)=0,"",IF(AND(MIN($D70:$E70)&lt;=I$9+6,MAX($D70:$E70)&gt;=I$9),1,""))</f>
        <v/>
      </c>
      <c r="J70" s="21" t="str">
        <f aca="false">IF(COUNT($D70:$E70)=0,"",IF(AND(MIN($D70:$E70)&lt;=J$9+6,MAX($D70:$E70)&gt;=J$9),1,""))</f>
        <v/>
      </c>
      <c r="K70" s="21" t="n">
        <f aca="false">IF(COUNT($D70:$E70)=0,"",IF(AND(MIN($D70:$E70)&lt;=K$9+6,MAX($D70:$E70)&gt;=K$9),1,""))</f>
        <v>1</v>
      </c>
      <c r="L70" s="21" t="str">
        <f aca="false">IF(COUNT($D70:$E70)=0,"",IF(AND(MIN($D70:$E70)&lt;=L$9+6,MAX($D70:$E70)&gt;=L$9),1,""))</f>
        <v/>
      </c>
      <c r="M70" s="21" t="str">
        <f aca="false">IF(COUNT($D70:$E70)=0,"",IF(AND(MIN($D70:$E70)&lt;=M$9+6,MAX($D70:$E70)&gt;=M$9),1,""))</f>
        <v/>
      </c>
      <c r="N70" s="21" t="str">
        <f aca="false">IF(COUNT($D70:$E70)=0,"",IF(AND(MIN($D70:$E70)&lt;=N$9+6,MAX($D70:$E70)&gt;=N$9),1,""))</f>
        <v/>
      </c>
      <c r="O70" s="21" t="str">
        <f aca="false">IF(COUNT($D70:$E70)=0,"",IF(AND(MIN($D70:$E70)&lt;=O$9+6,MAX($D70:$E70)&gt;=O$9),1,""))</f>
        <v/>
      </c>
      <c r="P70" s="21" t="str">
        <f aca="false">IF(COUNT($D70:$E70)=0,"",IF(AND(MIN($D70:$E70)&lt;=P$9+6,MAX($D70:$E70)&gt;=P$9),1,""))</f>
        <v/>
      </c>
      <c r="Q70" s="22" t="s">
        <v>253</v>
      </c>
      <c r="R70" s="19" t="s">
        <v>254</v>
      </c>
    </row>
    <row r="71" customFormat="false" ht="30" hidden="false" customHeight="true" outlineLevel="0" collapsed="false">
      <c r="A71" s="18" t="s">
        <v>191</v>
      </c>
      <c r="B71" s="19" t="s">
        <v>255</v>
      </c>
      <c r="C71" s="19" t="s">
        <v>225</v>
      </c>
      <c r="D71" s="20" t="n">
        <v>46346</v>
      </c>
      <c r="E71" s="20" t="n">
        <v>46346</v>
      </c>
      <c r="F71" s="18" t="s">
        <v>15</v>
      </c>
      <c r="G71" s="18" t="s">
        <v>42</v>
      </c>
      <c r="H71" s="21" t="str">
        <f aca="false">IF(COUNT($D71:$E71)=0,"",IF(AND(MIN($D71:$E71)&lt;=H$9+6,MAX($D71:$E71)&gt;=H$9),1,""))</f>
        <v/>
      </c>
      <c r="I71" s="21" t="str">
        <f aca="false">IF(COUNT($D71:$E71)=0,"",IF(AND(MIN($D71:$E71)&lt;=I$9+6,MAX($D71:$E71)&gt;=I$9),1,""))</f>
        <v/>
      </c>
      <c r="J71" s="21" t="str">
        <f aca="false">IF(COUNT($D71:$E71)=0,"",IF(AND(MIN($D71:$E71)&lt;=J$9+6,MAX($D71:$E71)&gt;=J$9),1,""))</f>
        <v/>
      </c>
      <c r="K71" s="21" t="n">
        <f aca="false">IF(COUNT($D71:$E71)=0,"",IF(AND(MIN($D71:$E71)&lt;=K$9+6,MAX($D71:$E71)&gt;=K$9),1,""))</f>
        <v>1</v>
      </c>
      <c r="L71" s="21" t="str">
        <f aca="false">IF(COUNT($D71:$E71)=0,"",IF(AND(MIN($D71:$E71)&lt;=L$9+6,MAX($D71:$E71)&gt;=L$9),1,""))</f>
        <v/>
      </c>
      <c r="M71" s="21" t="str">
        <f aca="false">IF(COUNT($D71:$E71)=0,"",IF(AND(MIN($D71:$E71)&lt;=M$9+6,MAX($D71:$E71)&gt;=M$9),1,""))</f>
        <v/>
      </c>
      <c r="N71" s="21" t="str">
        <f aca="false">IF(COUNT($D71:$E71)=0,"",IF(AND(MIN($D71:$E71)&lt;=N$9+6,MAX($D71:$E71)&gt;=N$9),1,""))</f>
        <v/>
      </c>
      <c r="O71" s="21" t="str">
        <f aca="false">IF(COUNT($D71:$E71)=0,"",IF(AND(MIN($D71:$E71)&lt;=O$9+6,MAX($D71:$E71)&gt;=O$9),1,""))</f>
        <v/>
      </c>
      <c r="P71" s="21" t="str">
        <f aca="false">IF(COUNT($D71:$E71)=0,"",IF(AND(MIN($D71:$E71)&lt;=P$9+6,MAX($D71:$E71)&gt;=P$9),1,""))</f>
        <v/>
      </c>
      <c r="Q71" s="22" t="s">
        <v>256</v>
      </c>
      <c r="R71" s="19" t="s">
        <v>257</v>
      </c>
    </row>
    <row r="72" customFormat="false" ht="30" hidden="false" customHeight="true" outlineLevel="0" collapsed="false">
      <c r="A72" s="18" t="s">
        <v>258</v>
      </c>
      <c r="B72" s="19" t="s">
        <v>259</v>
      </c>
      <c r="C72" s="19" t="s">
        <v>260</v>
      </c>
      <c r="D72" s="20" t="n">
        <v>46349</v>
      </c>
      <c r="E72" s="20" t="n">
        <v>46349</v>
      </c>
      <c r="F72" s="18" t="s">
        <v>15</v>
      </c>
      <c r="G72" s="18" t="s">
        <v>42</v>
      </c>
      <c r="H72" s="21" t="str">
        <f aca="false">IF(COUNT($D72:$E72)=0,"",IF(AND(MIN($D72:$E72)&lt;=H$9+6,MAX($D72:$E72)&gt;=H$9),1,""))</f>
        <v/>
      </c>
      <c r="I72" s="21" t="str">
        <f aca="false">IF(COUNT($D72:$E72)=0,"",IF(AND(MIN($D72:$E72)&lt;=I$9+6,MAX($D72:$E72)&gt;=I$9),1,""))</f>
        <v/>
      </c>
      <c r="J72" s="21" t="str">
        <f aca="false">IF(COUNT($D72:$E72)=0,"",IF(AND(MIN($D72:$E72)&lt;=J$9+6,MAX($D72:$E72)&gt;=J$9),1,""))</f>
        <v/>
      </c>
      <c r="K72" s="21" t="str">
        <f aca="false">IF(COUNT($D72:$E72)=0,"",IF(AND(MIN($D72:$E72)&lt;=K$9+6,MAX($D72:$E72)&gt;=K$9),1,""))</f>
        <v/>
      </c>
      <c r="L72" s="21" t="n">
        <f aca="false">IF(COUNT($D72:$E72)=0,"",IF(AND(MIN($D72:$E72)&lt;=L$9+6,MAX($D72:$E72)&gt;=L$9),1,""))</f>
        <v>1</v>
      </c>
      <c r="M72" s="21" t="str">
        <f aca="false">IF(COUNT($D72:$E72)=0,"",IF(AND(MIN($D72:$E72)&lt;=M$9+6,MAX($D72:$E72)&gt;=M$9),1,""))</f>
        <v/>
      </c>
      <c r="N72" s="21" t="str">
        <f aca="false">IF(COUNT($D72:$E72)=0,"",IF(AND(MIN($D72:$E72)&lt;=N$9+6,MAX($D72:$E72)&gt;=N$9),1,""))</f>
        <v/>
      </c>
      <c r="O72" s="21" t="str">
        <f aca="false">IF(COUNT($D72:$E72)=0,"",IF(AND(MIN($D72:$E72)&lt;=O$9+6,MAX($D72:$E72)&gt;=O$9),1,""))</f>
        <v/>
      </c>
      <c r="P72" s="21" t="str">
        <f aca="false">IF(COUNT($D72:$E72)=0,"",IF(AND(MIN($D72:$E72)&lt;=P$9+6,MAX($D72:$E72)&gt;=P$9),1,""))</f>
        <v/>
      </c>
      <c r="Q72" s="22" t="s">
        <v>261</v>
      </c>
      <c r="R72" s="19"/>
    </row>
    <row r="73" customFormat="false" ht="30" hidden="false" customHeight="true" outlineLevel="0" collapsed="false">
      <c r="A73" s="18" t="s">
        <v>258</v>
      </c>
      <c r="B73" s="19" t="s">
        <v>262</v>
      </c>
      <c r="C73" s="19" t="s">
        <v>258</v>
      </c>
      <c r="D73" s="20" t="n">
        <v>46349</v>
      </c>
      <c r="E73" s="20" t="n">
        <v>46359</v>
      </c>
      <c r="F73" s="18" t="s">
        <v>15</v>
      </c>
      <c r="G73" s="18" t="s">
        <v>47</v>
      </c>
      <c r="H73" s="21" t="str">
        <f aca="false">IF(COUNT($D73:$E73)=0,"",IF(AND(MIN($D73:$E73)&lt;=H$9+6,MAX($D73:$E73)&gt;=H$9),1,""))</f>
        <v/>
      </c>
      <c r="I73" s="21" t="str">
        <f aca="false">IF(COUNT($D73:$E73)=0,"",IF(AND(MIN($D73:$E73)&lt;=I$9+6,MAX($D73:$E73)&gt;=I$9),1,""))</f>
        <v/>
      </c>
      <c r="J73" s="21" t="str">
        <f aca="false">IF(COUNT($D73:$E73)=0,"",IF(AND(MIN($D73:$E73)&lt;=J$9+6,MAX($D73:$E73)&gt;=J$9),1,""))</f>
        <v/>
      </c>
      <c r="K73" s="21" t="str">
        <f aca="false">IF(COUNT($D73:$E73)=0,"",IF(AND(MIN($D73:$E73)&lt;=K$9+6,MAX($D73:$E73)&gt;=K$9),1,""))</f>
        <v/>
      </c>
      <c r="L73" s="21" t="n">
        <f aca="false">IF(COUNT($D73:$E73)=0,"",IF(AND(MIN($D73:$E73)&lt;=L$9+6,MAX($D73:$E73)&gt;=L$9),1,""))</f>
        <v>1</v>
      </c>
      <c r="M73" s="21" t="n">
        <f aca="false">IF(COUNT($D73:$E73)=0,"",IF(AND(MIN($D73:$E73)&lt;=M$9+6,MAX($D73:$E73)&gt;=M$9),1,""))</f>
        <v>1</v>
      </c>
      <c r="N73" s="21" t="str">
        <f aca="false">IF(COUNT($D73:$E73)=0,"",IF(AND(MIN($D73:$E73)&lt;=N$9+6,MAX($D73:$E73)&gt;=N$9),1,""))</f>
        <v/>
      </c>
      <c r="O73" s="21" t="str">
        <f aca="false">IF(COUNT($D73:$E73)=0,"",IF(AND(MIN($D73:$E73)&lt;=O$9+6,MAX($D73:$E73)&gt;=O$9),1,""))</f>
        <v/>
      </c>
      <c r="P73" s="21" t="str">
        <f aca="false">IF(COUNT($D73:$E73)=0,"",IF(AND(MIN($D73:$E73)&lt;=P$9+6,MAX($D73:$E73)&gt;=P$9),1,""))</f>
        <v/>
      </c>
      <c r="Q73" s="22" t="s">
        <v>263</v>
      </c>
      <c r="R73" s="19"/>
    </row>
    <row r="74" customFormat="false" ht="30" hidden="false" customHeight="true" outlineLevel="0" collapsed="false">
      <c r="A74" s="18" t="s">
        <v>258</v>
      </c>
      <c r="B74" s="19" t="s">
        <v>264</v>
      </c>
      <c r="C74" s="19" t="s">
        <v>265</v>
      </c>
      <c r="D74" s="20" t="n">
        <v>46349</v>
      </c>
      <c r="E74" s="20" t="n">
        <v>46360</v>
      </c>
      <c r="F74" s="18" t="s">
        <v>15</v>
      </c>
      <c r="G74" s="18" t="s">
        <v>47</v>
      </c>
      <c r="H74" s="21" t="str">
        <f aca="false">IF(COUNT($D74:$E74)=0,"",IF(AND(MIN($D74:$E74)&lt;=H$9+6,MAX($D74:$E74)&gt;=H$9),1,""))</f>
        <v/>
      </c>
      <c r="I74" s="21" t="str">
        <f aca="false">IF(COUNT($D74:$E74)=0,"",IF(AND(MIN($D74:$E74)&lt;=I$9+6,MAX($D74:$E74)&gt;=I$9),1,""))</f>
        <v/>
      </c>
      <c r="J74" s="21" t="str">
        <f aca="false">IF(COUNT($D74:$E74)=0,"",IF(AND(MIN($D74:$E74)&lt;=J$9+6,MAX($D74:$E74)&gt;=J$9),1,""))</f>
        <v/>
      </c>
      <c r="K74" s="21" t="str">
        <f aca="false">IF(COUNT($D74:$E74)=0,"",IF(AND(MIN($D74:$E74)&lt;=K$9+6,MAX($D74:$E74)&gt;=K$9),1,""))</f>
        <v/>
      </c>
      <c r="L74" s="21" t="n">
        <f aca="false">IF(COUNT($D74:$E74)=0,"",IF(AND(MIN($D74:$E74)&lt;=L$9+6,MAX($D74:$E74)&gt;=L$9),1,""))</f>
        <v>1</v>
      </c>
      <c r="M74" s="21" t="n">
        <f aca="false">IF(COUNT($D74:$E74)=0,"",IF(AND(MIN($D74:$E74)&lt;=M$9+6,MAX($D74:$E74)&gt;=M$9),1,""))</f>
        <v>1</v>
      </c>
      <c r="N74" s="21" t="str">
        <f aca="false">IF(COUNT($D74:$E74)=0,"",IF(AND(MIN($D74:$E74)&lt;=N$9+6,MAX($D74:$E74)&gt;=N$9),1,""))</f>
        <v/>
      </c>
      <c r="O74" s="21" t="str">
        <f aca="false">IF(COUNT($D74:$E74)=0,"",IF(AND(MIN($D74:$E74)&lt;=O$9+6,MAX($D74:$E74)&gt;=O$9),1,""))</f>
        <v/>
      </c>
      <c r="P74" s="21" t="str">
        <f aca="false">IF(COUNT($D74:$E74)=0,"",IF(AND(MIN($D74:$E74)&lt;=P$9+6,MAX($D74:$E74)&gt;=P$9),1,""))</f>
        <v/>
      </c>
      <c r="Q74" s="22" t="s">
        <v>266</v>
      </c>
      <c r="R74" s="19" t="s">
        <v>267</v>
      </c>
    </row>
    <row r="75" customFormat="false" ht="30" hidden="false" customHeight="true" outlineLevel="0" collapsed="false">
      <c r="A75" s="18" t="s">
        <v>215</v>
      </c>
      <c r="B75" s="19" t="s">
        <v>268</v>
      </c>
      <c r="C75" s="19" t="s">
        <v>269</v>
      </c>
      <c r="D75" s="20" t="n">
        <v>46342</v>
      </c>
      <c r="E75" s="20" t="n">
        <v>46353</v>
      </c>
      <c r="F75" s="18" t="s">
        <v>15</v>
      </c>
      <c r="G75" s="18" t="s">
        <v>42</v>
      </c>
      <c r="H75" s="21" t="str">
        <f aca="false">IF(COUNT($D75:$E75)=0,"",IF(AND(MIN($D75:$E75)&lt;=H$9+6,MAX($D75:$E75)&gt;=H$9),1,""))</f>
        <v/>
      </c>
      <c r="I75" s="21" t="str">
        <f aca="false">IF(COUNT($D75:$E75)=0,"",IF(AND(MIN($D75:$E75)&lt;=I$9+6,MAX($D75:$E75)&gt;=I$9),1,""))</f>
        <v/>
      </c>
      <c r="J75" s="21" t="str">
        <f aca="false">IF(COUNT($D75:$E75)=0,"",IF(AND(MIN($D75:$E75)&lt;=J$9+6,MAX($D75:$E75)&gt;=J$9),1,""))</f>
        <v/>
      </c>
      <c r="K75" s="21" t="n">
        <f aca="false">IF(COUNT($D75:$E75)=0,"",IF(AND(MIN($D75:$E75)&lt;=K$9+6,MAX($D75:$E75)&gt;=K$9),1,""))</f>
        <v>1</v>
      </c>
      <c r="L75" s="21" t="n">
        <f aca="false">IF(COUNT($D75:$E75)=0,"",IF(AND(MIN($D75:$E75)&lt;=L$9+6,MAX($D75:$E75)&gt;=L$9),1,""))</f>
        <v>1</v>
      </c>
      <c r="M75" s="21" t="str">
        <f aca="false">IF(COUNT($D75:$E75)=0,"",IF(AND(MIN($D75:$E75)&lt;=M$9+6,MAX($D75:$E75)&gt;=M$9),1,""))</f>
        <v/>
      </c>
      <c r="N75" s="21" t="str">
        <f aca="false">IF(COUNT($D75:$E75)=0,"",IF(AND(MIN($D75:$E75)&lt;=N$9+6,MAX($D75:$E75)&gt;=N$9),1,""))</f>
        <v/>
      </c>
      <c r="O75" s="21" t="str">
        <f aca="false">IF(COUNT($D75:$E75)=0,"",IF(AND(MIN($D75:$E75)&lt;=O$9+6,MAX($D75:$E75)&gt;=O$9),1,""))</f>
        <v/>
      </c>
      <c r="P75" s="21" t="str">
        <f aca="false">IF(COUNT($D75:$E75)=0,"",IF(AND(MIN($D75:$E75)&lt;=P$9+6,MAX($D75:$E75)&gt;=P$9),1,""))</f>
        <v/>
      </c>
      <c r="Q75" s="23" t="s">
        <v>270</v>
      </c>
      <c r="R75" s="19" t="s">
        <v>271</v>
      </c>
    </row>
    <row r="76" customFormat="false" ht="30" hidden="false" customHeight="true" outlineLevel="0" collapsed="false">
      <c r="A76" s="18" t="s">
        <v>272</v>
      </c>
      <c r="B76" s="19" t="s">
        <v>273</v>
      </c>
      <c r="C76" s="19" t="s">
        <v>274</v>
      </c>
      <c r="D76" s="20" t="n">
        <v>46357</v>
      </c>
      <c r="E76" s="20" t="n">
        <v>46360</v>
      </c>
      <c r="F76" s="18" t="s">
        <v>15</v>
      </c>
      <c r="G76" s="18" t="s">
        <v>47</v>
      </c>
      <c r="H76" s="21" t="str">
        <f aca="false">IF(COUNT($D76:$E76)=0,"",IF(AND(MIN($D76:$E76)&lt;=H$9+6,MAX($D76:$E76)&gt;=H$9),1,""))</f>
        <v/>
      </c>
      <c r="I76" s="21" t="str">
        <f aca="false">IF(COUNT($D76:$E76)=0,"",IF(AND(MIN($D76:$E76)&lt;=I$9+6,MAX($D76:$E76)&gt;=I$9),1,""))</f>
        <v/>
      </c>
      <c r="J76" s="21" t="str">
        <f aca="false">IF(COUNT($D76:$E76)=0,"",IF(AND(MIN($D76:$E76)&lt;=J$9+6,MAX($D76:$E76)&gt;=J$9),1,""))</f>
        <v/>
      </c>
      <c r="K76" s="21" t="str">
        <f aca="false">IF(COUNT($D76:$E76)=0,"",IF(AND(MIN($D76:$E76)&lt;=K$9+6,MAX($D76:$E76)&gt;=K$9),1,""))</f>
        <v/>
      </c>
      <c r="L76" s="21" t="str">
        <f aca="false">IF(COUNT($D76:$E76)=0,"",IF(AND(MIN($D76:$E76)&lt;=L$9+6,MAX($D76:$E76)&gt;=L$9),1,""))</f>
        <v/>
      </c>
      <c r="M76" s="21" t="n">
        <f aca="false">IF(COUNT($D76:$E76)=0,"",IF(AND(MIN($D76:$E76)&lt;=M$9+6,MAX($D76:$E76)&gt;=M$9),1,""))</f>
        <v>1</v>
      </c>
      <c r="N76" s="21" t="str">
        <f aca="false">IF(COUNT($D76:$E76)=0,"",IF(AND(MIN($D76:$E76)&lt;=N$9+6,MAX($D76:$E76)&gt;=N$9),1,""))</f>
        <v/>
      </c>
      <c r="O76" s="21" t="str">
        <f aca="false">IF(COUNT($D76:$E76)=0,"",IF(AND(MIN($D76:$E76)&lt;=O$9+6,MAX($D76:$E76)&gt;=O$9),1,""))</f>
        <v/>
      </c>
      <c r="P76" s="21" t="str">
        <f aca="false">IF(COUNT($D76:$E76)=0,"",IF(AND(MIN($D76:$E76)&lt;=P$9+6,MAX($D76:$E76)&gt;=P$9),1,""))</f>
        <v/>
      </c>
      <c r="Q76" s="22" t="s">
        <v>275</v>
      </c>
      <c r="R76" s="19"/>
    </row>
    <row r="77" customFormat="false" ht="19.5" hidden="false" customHeight="true" outlineLevel="0" collapsed="false">
      <c r="A77" s="17" t="s">
        <v>276</v>
      </c>
      <c r="B77" s="17"/>
      <c r="C77" s="17"/>
      <c r="D77" s="17"/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</row>
    <row r="78" customFormat="false" ht="30" hidden="false" customHeight="true" outlineLevel="0" collapsed="false">
      <c r="A78" s="18" t="s">
        <v>277</v>
      </c>
      <c r="B78" s="19" t="s">
        <v>278</v>
      </c>
      <c r="C78" s="19" t="s">
        <v>279</v>
      </c>
      <c r="D78" s="20" t="n">
        <v>46322</v>
      </c>
      <c r="E78" s="20" t="n">
        <v>46323</v>
      </c>
      <c r="F78" s="18" t="s">
        <v>15</v>
      </c>
      <c r="G78" s="18" t="s">
        <v>47</v>
      </c>
      <c r="H78" s="21" t="n">
        <f aca="false">IF(COUNT($D78:$E78)=0,"",IF(AND(MIN($D78:$E78)&lt;=H$9+6,MAX($D78:$E78)&gt;=H$9),1,""))</f>
        <v>1</v>
      </c>
      <c r="I78" s="21" t="str">
        <f aca="false">IF(COUNT($D78:$E78)=0,"",IF(AND(MIN($D78:$E78)&lt;=I$9+6,MAX($D78:$E78)&gt;=I$9),1,""))</f>
        <v/>
      </c>
      <c r="J78" s="21" t="str">
        <f aca="false">IF(COUNT($D78:$E78)=0,"",IF(AND(MIN($D78:$E78)&lt;=J$9+6,MAX($D78:$E78)&gt;=J$9),1,""))</f>
        <v/>
      </c>
      <c r="K78" s="21" t="str">
        <f aca="false">IF(COUNT($D78:$E78)=0,"",IF(AND(MIN($D78:$E78)&lt;=K$9+6,MAX($D78:$E78)&gt;=K$9),1,""))</f>
        <v/>
      </c>
      <c r="L78" s="21" t="str">
        <f aca="false">IF(COUNT($D78:$E78)=0,"",IF(AND(MIN($D78:$E78)&lt;=L$9+6,MAX($D78:$E78)&gt;=L$9),1,""))</f>
        <v/>
      </c>
      <c r="M78" s="21" t="str">
        <f aca="false">IF(COUNT($D78:$E78)=0,"",IF(AND(MIN($D78:$E78)&lt;=M$9+6,MAX($D78:$E78)&gt;=M$9),1,""))</f>
        <v/>
      </c>
      <c r="N78" s="21" t="str">
        <f aca="false">IF(COUNT($D78:$E78)=0,"",IF(AND(MIN($D78:$E78)&lt;=N$9+6,MAX($D78:$E78)&gt;=N$9),1,""))</f>
        <v/>
      </c>
      <c r="O78" s="21" t="str">
        <f aca="false">IF(COUNT($D78:$E78)=0,"",IF(AND(MIN($D78:$E78)&lt;=O$9+6,MAX($D78:$E78)&gt;=O$9),1,""))</f>
        <v/>
      </c>
      <c r="P78" s="21" t="str">
        <f aca="false">IF(COUNT($D78:$E78)=0,"",IF(AND(MIN($D78:$E78)&lt;=P$9+6,MAX($D78:$E78)&gt;=P$9),1,""))</f>
        <v/>
      </c>
      <c r="Q78" s="22" t="s">
        <v>38</v>
      </c>
      <c r="R78" s="19" t="s">
        <v>280</v>
      </c>
    </row>
    <row r="79" customFormat="false" ht="30" hidden="false" customHeight="true" outlineLevel="0" collapsed="false">
      <c r="A79" s="18" t="s">
        <v>277</v>
      </c>
      <c r="B79" s="19" t="s">
        <v>281</v>
      </c>
      <c r="C79" s="19" t="s">
        <v>282</v>
      </c>
      <c r="D79" s="20" t="n">
        <v>46323</v>
      </c>
      <c r="E79" s="20" t="n">
        <v>46326</v>
      </c>
      <c r="F79" s="18" t="s">
        <v>15</v>
      </c>
      <c r="G79" s="18" t="s">
        <v>47</v>
      </c>
      <c r="H79" s="21" t="n">
        <f aca="false">IF(COUNT($D79:$E79)=0,"",IF(AND(MIN($D79:$E79)&lt;=H$9+6,MAX($D79:$E79)&gt;=H$9),1,""))</f>
        <v>1</v>
      </c>
      <c r="I79" s="21" t="str">
        <f aca="false">IF(COUNT($D79:$E79)=0,"",IF(AND(MIN($D79:$E79)&lt;=I$9+6,MAX($D79:$E79)&gt;=I$9),1,""))</f>
        <v/>
      </c>
      <c r="J79" s="21" t="str">
        <f aca="false">IF(COUNT($D79:$E79)=0,"",IF(AND(MIN($D79:$E79)&lt;=J$9+6,MAX($D79:$E79)&gt;=J$9),1,""))</f>
        <v/>
      </c>
      <c r="K79" s="21" t="str">
        <f aca="false">IF(COUNT($D79:$E79)=0,"",IF(AND(MIN($D79:$E79)&lt;=K$9+6,MAX($D79:$E79)&gt;=K$9),1,""))</f>
        <v/>
      </c>
      <c r="L79" s="21" t="str">
        <f aca="false">IF(COUNT($D79:$E79)=0,"",IF(AND(MIN($D79:$E79)&lt;=L$9+6,MAX($D79:$E79)&gt;=L$9),1,""))</f>
        <v/>
      </c>
      <c r="M79" s="21" t="str">
        <f aca="false">IF(COUNT($D79:$E79)=0,"",IF(AND(MIN($D79:$E79)&lt;=M$9+6,MAX($D79:$E79)&gt;=M$9),1,""))</f>
        <v/>
      </c>
      <c r="N79" s="21" t="str">
        <f aca="false">IF(COUNT($D79:$E79)=0,"",IF(AND(MIN($D79:$E79)&lt;=N$9+6,MAX($D79:$E79)&gt;=N$9),1,""))</f>
        <v/>
      </c>
      <c r="O79" s="21" t="str">
        <f aca="false">IF(COUNT($D79:$E79)=0,"",IF(AND(MIN($D79:$E79)&lt;=O$9+6,MAX($D79:$E79)&gt;=O$9),1,""))</f>
        <v/>
      </c>
      <c r="P79" s="21" t="str">
        <f aca="false">IF(COUNT($D79:$E79)=0,"",IF(AND(MIN($D79:$E79)&lt;=P$9+6,MAX($D79:$E79)&gt;=P$9),1,""))</f>
        <v/>
      </c>
      <c r="Q79" s="22" t="s">
        <v>283</v>
      </c>
      <c r="R79" s="19" t="s">
        <v>284</v>
      </c>
    </row>
    <row r="80" customFormat="false" ht="30" hidden="false" customHeight="true" outlineLevel="0" collapsed="false">
      <c r="A80" s="18" t="s">
        <v>277</v>
      </c>
      <c r="B80" s="19" t="s">
        <v>285</v>
      </c>
      <c r="C80" s="19" t="s">
        <v>286</v>
      </c>
      <c r="D80" s="20" t="n">
        <v>46325</v>
      </c>
      <c r="E80" s="20" t="n">
        <v>46329</v>
      </c>
      <c r="F80" s="18" t="s">
        <v>11</v>
      </c>
      <c r="G80" s="18" t="s">
        <v>42</v>
      </c>
      <c r="H80" s="21" t="n">
        <f aca="false">IF(COUNT($D80:$E80)=0,"",IF(AND(MIN($D80:$E80)&lt;=H$9+6,MAX($D80:$E80)&gt;=H$9),1,""))</f>
        <v>1</v>
      </c>
      <c r="I80" s="21" t="n">
        <f aca="false">IF(COUNT($D80:$E80)=0,"",IF(AND(MIN($D80:$E80)&lt;=I$9+6,MAX($D80:$E80)&gt;=I$9),1,""))</f>
        <v>1</v>
      </c>
      <c r="J80" s="21" t="str">
        <f aca="false">IF(COUNT($D80:$E80)=0,"",IF(AND(MIN($D80:$E80)&lt;=J$9+6,MAX($D80:$E80)&gt;=J$9),1,""))</f>
        <v/>
      </c>
      <c r="K80" s="21" t="str">
        <f aca="false">IF(COUNT($D80:$E80)=0,"",IF(AND(MIN($D80:$E80)&lt;=K$9+6,MAX($D80:$E80)&gt;=K$9),1,""))</f>
        <v/>
      </c>
      <c r="L80" s="21" t="str">
        <f aca="false">IF(COUNT($D80:$E80)=0,"",IF(AND(MIN($D80:$E80)&lt;=L$9+6,MAX($D80:$E80)&gt;=L$9),1,""))</f>
        <v/>
      </c>
      <c r="M80" s="21" t="str">
        <f aca="false">IF(COUNT($D80:$E80)=0,"",IF(AND(MIN($D80:$E80)&lt;=M$9+6,MAX($D80:$E80)&gt;=M$9),1,""))</f>
        <v/>
      </c>
      <c r="N80" s="21" t="str">
        <f aca="false">IF(COUNT($D80:$E80)=0,"",IF(AND(MIN($D80:$E80)&lt;=N$9+6,MAX($D80:$E80)&gt;=N$9),1,""))</f>
        <v/>
      </c>
      <c r="O80" s="21" t="str">
        <f aca="false">IF(COUNT($D80:$E80)=0,"",IF(AND(MIN($D80:$E80)&lt;=O$9+6,MAX($D80:$E80)&gt;=O$9),1,""))</f>
        <v/>
      </c>
      <c r="P80" s="21" t="str">
        <f aca="false">IF(COUNT($D80:$E80)=0,"",IF(AND(MIN($D80:$E80)&lt;=P$9+6,MAX($D80:$E80)&gt;=P$9),1,""))</f>
        <v/>
      </c>
      <c r="Q80" s="22" t="s">
        <v>287</v>
      </c>
      <c r="R80" s="19" t="s">
        <v>288</v>
      </c>
    </row>
    <row r="81" customFormat="false" ht="30" hidden="false" customHeight="true" outlineLevel="0" collapsed="false">
      <c r="A81" s="18" t="s">
        <v>277</v>
      </c>
      <c r="B81" s="19" t="s">
        <v>289</v>
      </c>
      <c r="C81" s="19" t="s">
        <v>134</v>
      </c>
      <c r="D81" s="20" t="n">
        <v>46323</v>
      </c>
      <c r="E81" s="20" t="n">
        <v>46330</v>
      </c>
      <c r="F81" s="18" t="s">
        <v>15</v>
      </c>
      <c r="G81" s="18" t="s">
        <v>47</v>
      </c>
      <c r="H81" s="21" t="n">
        <f aca="false">IF(COUNT($D81:$E81)=0,"",IF(AND(MIN($D81:$E81)&lt;=H$9+6,MAX($D81:$E81)&gt;=H$9),1,""))</f>
        <v>1</v>
      </c>
      <c r="I81" s="21" t="n">
        <f aca="false">IF(COUNT($D81:$E81)=0,"",IF(AND(MIN($D81:$E81)&lt;=I$9+6,MAX($D81:$E81)&gt;=I$9),1,""))</f>
        <v>1</v>
      </c>
      <c r="J81" s="21" t="str">
        <f aca="false">IF(COUNT($D81:$E81)=0,"",IF(AND(MIN($D81:$E81)&lt;=J$9+6,MAX($D81:$E81)&gt;=J$9),1,""))</f>
        <v/>
      </c>
      <c r="K81" s="21" t="str">
        <f aca="false">IF(COUNT($D81:$E81)=0,"",IF(AND(MIN($D81:$E81)&lt;=K$9+6,MAX($D81:$E81)&gt;=K$9),1,""))</f>
        <v/>
      </c>
      <c r="L81" s="21" t="str">
        <f aca="false">IF(COUNT($D81:$E81)=0,"",IF(AND(MIN($D81:$E81)&lt;=L$9+6,MAX($D81:$E81)&gt;=L$9),1,""))</f>
        <v/>
      </c>
      <c r="M81" s="21" t="str">
        <f aca="false">IF(COUNT($D81:$E81)=0,"",IF(AND(MIN($D81:$E81)&lt;=M$9+6,MAX($D81:$E81)&gt;=M$9),1,""))</f>
        <v/>
      </c>
      <c r="N81" s="21" t="str">
        <f aca="false">IF(COUNT($D81:$E81)=0,"",IF(AND(MIN($D81:$E81)&lt;=N$9+6,MAX($D81:$E81)&gt;=N$9),1,""))</f>
        <v/>
      </c>
      <c r="O81" s="21" t="str">
        <f aca="false">IF(COUNT($D81:$E81)=0,"",IF(AND(MIN($D81:$E81)&lt;=O$9+6,MAX($D81:$E81)&gt;=O$9),1,""))</f>
        <v/>
      </c>
      <c r="P81" s="21" t="str">
        <f aca="false">IF(COUNT($D81:$E81)=0,"",IF(AND(MIN($D81:$E81)&lt;=P$9+6,MAX($D81:$E81)&gt;=P$9),1,""))</f>
        <v/>
      </c>
      <c r="Q81" s="22" t="s">
        <v>290</v>
      </c>
      <c r="R81" s="19"/>
    </row>
    <row r="82" customFormat="false" ht="30" hidden="false" customHeight="true" outlineLevel="0" collapsed="false">
      <c r="A82" s="18" t="s">
        <v>291</v>
      </c>
      <c r="B82" s="19" t="s">
        <v>292</v>
      </c>
      <c r="C82" s="19" t="s">
        <v>293</v>
      </c>
      <c r="D82" s="20"/>
      <c r="E82" s="20" t="n">
        <v>46332</v>
      </c>
      <c r="F82" s="18" t="s">
        <v>15</v>
      </c>
      <c r="G82" s="18" t="s">
        <v>42</v>
      </c>
      <c r="H82" s="21" t="str">
        <f aca="false">IF(COUNT($D82:$E82)=0,"",IF(AND(MIN($D82:$E82)&lt;=H$9+6,MAX($D82:$E82)&gt;=H$9),1,""))</f>
        <v/>
      </c>
      <c r="I82" s="21" t="n">
        <f aca="false">IF(COUNT($D82:$E82)=0,"",IF(AND(MIN($D82:$E82)&lt;=I$9+6,MAX($D82:$E82)&gt;=I$9),1,""))</f>
        <v>1</v>
      </c>
      <c r="J82" s="21" t="str">
        <f aca="false">IF(COUNT($D82:$E82)=0,"",IF(AND(MIN($D82:$E82)&lt;=J$9+6,MAX($D82:$E82)&gt;=J$9),1,""))</f>
        <v/>
      </c>
      <c r="K82" s="21" t="str">
        <f aca="false">IF(COUNT($D82:$E82)=0,"",IF(AND(MIN($D82:$E82)&lt;=K$9+6,MAX($D82:$E82)&gt;=K$9),1,""))</f>
        <v/>
      </c>
      <c r="L82" s="21" t="str">
        <f aca="false">IF(COUNT($D82:$E82)=0,"",IF(AND(MIN($D82:$E82)&lt;=L$9+6,MAX($D82:$E82)&gt;=L$9),1,""))</f>
        <v/>
      </c>
      <c r="M82" s="21" t="str">
        <f aca="false">IF(COUNT($D82:$E82)=0,"",IF(AND(MIN($D82:$E82)&lt;=M$9+6,MAX($D82:$E82)&gt;=M$9),1,""))</f>
        <v/>
      </c>
      <c r="N82" s="21" t="str">
        <f aca="false">IF(COUNT($D82:$E82)=0,"",IF(AND(MIN($D82:$E82)&lt;=N$9+6,MAX($D82:$E82)&gt;=N$9),1,""))</f>
        <v/>
      </c>
      <c r="O82" s="21" t="str">
        <f aca="false">IF(COUNT($D82:$E82)=0,"",IF(AND(MIN($D82:$E82)&lt;=O$9+6,MAX($D82:$E82)&gt;=O$9),1,""))</f>
        <v/>
      </c>
      <c r="P82" s="21" t="str">
        <f aca="false">IF(COUNT($D82:$E82)=0,"",IF(AND(MIN($D82:$E82)&lt;=P$9+6,MAX($D82:$E82)&gt;=P$9),1,""))</f>
        <v/>
      </c>
      <c r="Q82" s="22" t="s">
        <v>294</v>
      </c>
      <c r="R82" s="19"/>
    </row>
    <row r="83" customFormat="false" ht="30" hidden="false" customHeight="true" outlineLevel="0" collapsed="false">
      <c r="A83" s="18" t="s">
        <v>291</v>
      </c>
      <c r="B83" s="19" t="s">
        <v>295</v>
      </c>
      <c r="C83" s="19" t="s">
        <v>296</v>
      </c>
      <c r="D83" s="20" t="n">
        <v>46325</v>
      </c>
      <c r="E83" s="20" t="n">
        <v>46332</v>
      </c>
      <c r="F83" s="18" t="s">
        <v>15</v>
      </c>
      <c r="G83" s="18" t="s">
        <v>42</v>
      </c>
      <c r="H83" s="21" t="n">
        <f aca="false">IF(COUNT($D83:$E83)=0,"",IF(AND(MIN($D83:$E83)&lt;=H$9+6,MAX($D83:$E83)&gt;=H$9),1,""))</f>
        <v>1</v>
      </c>
      <c r="I83" s="21" t="n">
        <f aca="false">IF(COUNT($D83:$E83)=0,"",IF(AND(MIN($D83:$E83)&lt;=I$9+6,MAX($D83:$E83)&gt;=I$9),1,""))</f>
        <v>1</v>
      </c>
      <c r="J83" s="21" t="str">
        <f aca="false">IF(COUNT($D83:$E83)=0,"",IF(AND(MIN($D83:$E83)&lt;=J$9+6,MAX($D83:$E83)&gt;=J$9),1,""))</f>
        <v/>
      </c>
      <c r="K83" s="21" t="str">
        <f aca="false">IF(COUNT($D83:$E83)=0,"",IF(AND(MIN($D83:$E83)&lt;=K$9+6,MAX($D83:$E83)&gt;=K$9),1,""))</f>
        <v/>
      </c>
      <c r="L83" s="21" t="str">
        <f aca="false">IF(COUNT($D83:$E83)=0,"",IF(AND(MIN($D83:$E83)&lt;=L$9+6,MAX($D83:$E83)&gt;=L$9),1,""))</f>
        <v/>
      </c>
      <c r="M83" s="21" t="str">
        <f aca="false">IF(COUNT($D83:$E83)=0,"",IF(AND(MIN($D83:$E83)&lt;=M$9+6,MAX($D83:$E83)&gt;=M$9),1,""))</f>
        <v/>
      </c>
      <c r="N83" s="21" t="str">
        <f aca="false">IF(COUNT($D83:$E83)=0,"",IF(AND(MIN($D83:$E83)&lt;=N$9+6,MAX($D83:$E83)&gt;=N$9),1,""))</f>
        <v/>
      </c>
      <c r="O83" s="21" t="str">
        <f aca="false">IF(COUNT($D83:$E83)=0,"",IF(AND(MIN($D83:$E83)&lt;=O$9+6,MAX($D83:$E83)&gt;=O$9),1,""))</f>
        <v/>
      </c>
      <c r="P83" s="21" t="str">
        <f aca="false">IF(COUNT($D83:$E83)=0,"",IF(AND(MIN($D83:$E83)&lt;=P$9+6,MAX($D83:$E83)&gt;=P$9),1,""))</f>
        <v/>
      </c>
      <c r="Q83" s="22" t="s">
        <v>297</v>
      </c>
      <c r="R83" s="19"/>
    </row>
    <row r="84" customFormat="false" ht="30" hidden="false" customHeight="true" outlineLevel="0" collapsed="false">
      <c r="A84" s="18" t="s">
        <v>291</v>
      </c>
      <c r="B84" s="19" t="s">
        <v>298</v>
      </c>
      <c r="C84" s="19" t="s">
        <v>296</v>
      </c>
      <c r="D84" s="20" t="n">
        <v>46325</v>
      </c>
      <c r="E84" s="20" t="n">
        <v>46339</v>
      </c>
      <c r="F84" s="18" t="s">
        <v>15</v>
      </c>
      <c r="G84" s="18" t="s">
        <v>42</v>
      </c>
      <c r="H84" s="21" t="n">
        <f aca="false">IF(COUNT($D84:$E84)=0,"",IF(AND(MIN($D84:$E84)&lt;=H$9+6,MAX($D84:$E84)&gt;=H$9),1,""))</f>
        <v>1</v>
      </c>
      <c r="I84" s="21" t="n">
        <f aca="false">IF(COUNT($D84:$E84)=0,"",IF(AND(MIN($D84:$E84)&lt;=I$9+6,MAX($D84:$E84)&gt;=I$9),1,""))</f>
        <v>1</v>
      </c>
      <c r="J84" s="21" t="n">
        <f aca="false">IF(COUNT($D84:$E84)=0,"",IF(AND(MIN($D84:$E84)&lt;=J$9+6,MAX($D84:$E84)&gt;=J$9),1,""))</f>
        <v>1</v>
      </c>
      <c r="K84" s="21" t="str">
        <f aca="false">IF(COUNT($D84:$E84)=0,"",IF(AND(MIN($D84:$E84)&lt;=K$9+6,MAX($D84:$E84)&gt;=K$9),1,""))</f>
        <v/>
      </c>
      <c r="L84" s="21" t="str">
        <f aca="false">IF(COUNT($D84:$E84)=0,"",IF(AND(MIN($D84:$E84)&lt;=L$9+6,MAX($D84:$E84)&gt;=L$9),1,""))</f>
        <v/>
      </c>
      <c r="M84" s="21" t="str">
        <f aca="false">IF(COUNT($D84:$E84)=0,"",IF(AND(MIN($D84:$E84)&lt;=M$9+6,MAX($D84:$E84)&gt;=M$9),1,""))</f>
        <v/>
      </c>
      <c r="N84" s="21" t="str">
        <f aca="false">IF(COUNT($D84:$E84)=0,"",IF(AND(MIN($D84:$E84)&lt;=N$9+6,MAX($D84:$E84)&gt;=N$9),1,""))</f>
        <v/>
      </c>
      <c r="O84" s="21" t="str">
        <f aca="false">IF(COUNT($D84:$E84)=0,"",IF(AND(MIN($D84:$E84)&lt;=O$9+6,MAX($D84:$E84)&gt;=O$9),1,""))</f>
        <v/>
      </c>
      <c r="P84" s="21" t="str">
        <f aca="false">IF(COUNT($D84:$E84)=0,"",IF(AND(MIN($D84:$E84)&lt;=P$9+6,MAX($D84:$E84)&gt;=P$9),1,""))</f>
        <v/>
      </c>
      <c r="Q84" s="22" t="s">
        <v>299</v>
      </c>
      <c r="R84" s="19" t="s">
        <v>300</v>
      </c>
    </row>
    <row r="85" customFormat="false" ht="30" hidden="false" customHeight="true" outlineLevel="0" collapsed="false">
      <c r="A85" s="18" t="s">
        <v>291</v>
      </c>
      <c r="B85" s="19" t="s">
        <v>301</v>
      </c>
      <c r="C85" s="19" t="s">
        <v>291</v>
      </c>
      <c r="D85" s="20" t="n">
        <v>46328</v>
      </c>
      <c r="E85" s="20" t="n">
        <v>46339</v>
      </c>
      <c r="F85" s="18" t="s">
        <v>15</v>
      </c>
      <c r="G85" s="18" t="s">
        <v>47</v>
      </c>
      <c r="H85" s="21" t="str">
        <f aca="false">IF(COUNT($D85:$E85)=0,"",IF(AND(MIN($D85:$E85)&lt;=H$9+6,MAX($D85:$E85)&gt;=H$9),1,""))</f>
        <v/>
      </c>
      <c r="I85" s="21" t="n">
        <f aca="false">IF(COUNT($D85:$E85)=0,"",IF(AND(MIN($D85:$E85)&lt;=I$9+6,MAX($D85:$E85)&gt;=I$9),1,""))</f>
        <v>1</v>
      </c>
      <c r="J85" s="21" t="n">
        <f aca="false">IF(COUNT($D85:$E85)=0,"",IF(AND(MIN($D85:$E85)&lt;=J$9+6,MAX($D85:$E85)&gt;=J$9),1,""))</f>
        <v>1</v>
      </c>
      <c r="K85" s="21" t="str">
        <f aca="false">IF(COUNT($D85:$E85)=0,"",IF(AND(MIN($D85:$E85)&lt;=K$9+6,MAX($D85:$E85)&gt;=K$9),1,""))</f>
        <v/>
      </c>
      <c r="L85" s="21" t="str">
        <f aca="false">IF(COUNT($D85:$E85)=0,"",IF(AND(MIN($D85:$E85)&lt;=L$9+6,MAX($D85:$E85)&gt;=L$9),1,""))</f>
        <v/>
      </c>
      <c r="M85" s="21" t="str">
        <f aca="false">IF(COUNT($D85:$E85)=0,"",IF(AND(MIN($D85:$E85)&lt;=M$9+6,MAX($D85:$E85)&gt;=M$9),1,""))</f>
        <v/>
      </c>
      <c r="N85" s="21" t="str">
        <f aca="false">IF(COUNT($D85:$E85)=0,"",IF(AND(MIN($D85:$E85)&lt;=N$9+6,MAX($D85:$E85)&gt;=N$9),1,""))</f>
        <v/>
      </c>
      <c r="O85" s="21" t="str">
        <f aca="false">IF(COUNT($D85:$E85)=0,"",IF(AND(MIN($D85:$E85)&lt;=O$9+6,MAX($D85:$E85)&gt;=O$9),1,""))</f>
        <v/>
      </c>
      <c r="P85" s="21" t="str">
        <f aca="false">IF(COUNT($D85:$E85)=0,"",IF(AND(MIN($D85:$E85)&lt;=P$9+6,MAX($D85:$E85)&gt;=P$9),1,""))</f>
        <v/>
      </c>
      <c r="Q85" s="22" t="s">
        <v>302</v>
      </c>
      <c r="R85" s="19" t="s">
        <v>303</v>
      </c>
    </row>
    <row r="86" customFormat="false" ht="30" hidden="false" customHeight="true" outlineLevel="0" collapsed="false">
      <c r="A86" s="18" t="s">
        <v>304</v>
      </c>
      <c r="B86" s="19" t="s">
        <v>305</v>
      </c>
      <c r="C86" s="19" t="s">
        <v>134</v>
      </c>
      <c r="D86" s="20" t="n">
        <v>46323</v>
      </c>
      <c r="E86" s="20" t="n">
        <v>46332</v>
      </c>
      <c r="F86" s="18" t="s">
        <v>15</v>
      </c>
      <c r="G86" s="18" t="s">
        <v>42</v>
      </c>
      <c r="H86" s="21" t="n">
        <f aca="false">IF(COUNT($D86:$E86)=0,"",IF(AND(MIN($D86:$E86)&lt;=H$9+6,MAX($D86:$E86)&gt;=H$9),1,""))</f>
        <v>1</v>
      </c>
      <c r="I86" s="21" t="n">
        <f aca="false">IF(COUNT($D86:$E86)=0,"",IF(AND(MIN($D86:$E86)&lt;=I$9+6,MAX($D86:$E86)&gt;=I$9),1,""))</f>
        <v>1</v>
      </c>
      <c r="J86" s="21" t="str">
        <f aca="false">IF(COUNT($D86:$E86)=0,"",IF(AND(MIN($D86:$E86)&lt;=J$9+6,MAX($D86:$E86)&gt;=J$9),1,""))</f>
        <v/>
      </c>
      <c r="K86" s="21" t="str">
        <f aca="false">IF(COUNT($D86:$E86)=0,"",IF(AND(MIN($D86:$E86)&lt;=K$9+6,MAX($D86:$E86)&gt;=K$9),1,""))</f>
        <v/>
      </c>
      <c r="L86" s="21" t="str">
        <f aca="false">IF(COUNT($D86:$E86)=0,"",IF(AND(MIN($D86:$E86)&lt;=L$9+6,MAX($D86:$E86)&gt;=L$9),1,""))</f>
        <v/>
      </c>
      <c r="M86" s="21" t="str">
        <f aca="false">IF(COUNT($D86:$E86)=0,"",IF(AND(MIN($D86:$E86)&lt;=M$9+6,MAX($D86:$E86)&gt;=M$9),1,""))</f>
        <v/>
      </c>
      <c r="N86" s="21" t="str">
        <f aca="false">IF(COUNT($D86:$E86)=0,"",IF(AND(MIN($D86:$E86)&lt;=N$9+6,MAX($D86:$E86)&gt;=N$9),1,""))</f>
        <v/>
      </c>
      <c r="O86" s="21" t="str">
        <f aca="false">IF(COUNT($D86:$E86)=0,"",IF(AND(MIN($D86:$E86)&lt;=O$9+6,MAX($D86:$E86)&gt;=O$9),1,""))</f>
        <v/>
      </c>
      <c r="P86" s="21" t="str">
        <f aca="false">IF(COUNT($D86:$E86)=0,"",IF(AND(MIN($D86:$E86)&lt;=P$9+6,MAX($D86:$E86)&gt;=P$9),1,""))</f>
        <v/>
      </c>
      <c r="Q86" s="22" t="s">
        <v>306</v>
      </c>
      <c r="R86" s="19" t="s">
        <v>307</v>
      </c>
    </row>
    <row r="87" customFormat="false" ht="30" hidden="false" customHeight="true" outlineLevel="0" collapsed="false">
      <c r="A87" s="18" t="s">
        <v>304</v>
      </c>
      <c r="B87" s="19" t="s">
        <v>308</v>
      </c>
      <c r="C87" s="19" t="s">
        <v>309</v>
      </c>
      <c r="D87" s="20" t="n">
        <v>46332</v>
      </c>
      <c r="E87" s="20" t="n">
        <v>46338</v>
      </c>
      <c r="F87" s="18" t="s">
        <v>15</v>
      </c>
      <c r="G87" s="18" t="s">
        <v>47</v>
      </c>
      <c r="H87" s="21" t="str">
        <f aca="false">IF(COUNT($D87:$E87)=0,"",IF(AND(MIN($D87:$E87)&lt;=H$9+6,MAX($D87:$E87)&gt;=H$9),1,""))</f>
        <v/>
      </c>
      <c r="I87" s="21" t="n">
        <f aca="false">IF(COUNT($D87:$E87)=0,"",IF(AND(MIN($D87:$E87)&lt;=I$9+6,MAX($D87:$E87)&gt;=I$9),1,""))</f>
        <v>1</v>
      </c>
      <c r="J87" s="21" t="n">
        <f aca="false">IF(COUNT($D87:$E87)=0,"",IF(AND(MIN($D87:$E87)&lt;=J$9+6,MAX($D87:$E87)&gt;=J$9),1,""))</f>
        <v>1</v>
      </c>
      <c r="K87" s="21" t="str">
        <f aca="false">IF(COUNT($D87:$E87)=0,"",IF(AND(MIN($D87:$E87)&lt;=K$9+6,MAX($D87:$E87)&gt;=K$9),1,""))</f>
        <v/>
      </c>
      <c r="L87" s="21" t="str">
        <f aca="false">IF(COUNT($D87:$E87)=0,"",IF(AND(MIN($D87:$E87)&lt;=L$9+6,MAX($D87:$E87)&gt;=L$9),1,""))</f>
        <v/>
      </c>
      <c r="M87" s="21" t="str">
        <f aca="false">IF(COUNT($D87:$E87)=0,"",IF(AND(MIN($D87:$E87)&lt;=M$9+6,MAX($D87:$E87)&gt;=M$9),1,""))</f>
        <v/>
      </c>
      <c r="N87" s="21" t="str">
        <f aca="false">IF(COUNT($D87:$E87)=0,"",IF(AND(MIN($D87:$E87)&lt;=N$9+6,MAX($D87:$E87)&gt;=N$9),1,""))</f>
        <v/>
      </c>
      <c r="O87" s="21" t="str">
        <f aca="false">IF(COUNT($D87:$E87)=0,"",IF(AND(MIN($D87:$E87)&lt;=O$9+6,MAX($D87:$E87)&gt;=O$9),1,""))</f>
        <v/>
      </c>
      <c r="P87" s="21" t="str">
        <f aca="false">IF(COUNT($D87:$E87)=0,"",IF(AND(MIN($D87:$E87)&lt;=P$9+6,MAX($D87:$E87)&gt;=P$9),1,""))</f>
        <v/>
      </c>
      <c r="Q87" s="22" t="s">
        <v>310</v>
      </c>
      <c r="R87" s="19" t="s">
        <v>311</v>
      </c>
    </row>
    <row r="88" customFormat="false" ht="30" hidden="false" customHeight="true" outlineLevel="0" collapsed="false">
      <c r="A88" s="18" t="s">
        <v>304</v>
      </c>
      <c r="B88" s="19" t="s">
        <v>312</v>
      </c>
      <c r="C88" s="19" t="s">
        <v>134</v>
      </c>
      <c r="D88" s="20" t="n">
        <v>46323</v>
      </c>
      <c r="E88" s="20" t="n">
        <v>46344</v>
      </c>
      <c r="F88" s="18" t="s">
        <v>15</v>
      </c>
      <c r="G88" s="18" t="s">
        <v>42</v>
      </c>
      <c r="H88" s="21" t="n">
        <f aca="false">IF(COUNT($D88:$E88)=0,"",IF(AND(MIN($D88:$E88)&lt;=H$9+6,MAX($D88:$E88)&gt;=H$9),1,""))</f>
        <v>1</v>
      </c>
      <c r="I88" s="21" t="n">
        <f aca="false">IF(COUNT($D88:$E88)=0,"",IF(AND(MIN($D88:$E88)&lt;=I$9+6,MAX($D88:$E88)&gt;=I$9),1,""))</f>
        <v>1</v>
      </c>
      <c r="J88" s="21" t="n">
        <f aca="false">IF(COUNT($D88:$E88)=0,"",IF(AND(MIN($D88:$E88)&lt;=J$9+6,MAX($D88:$E88)&gt;=J$9),1,""))</f>
        <v>1</v>
      </c>
      <c r="K88" s="21" t="n">
        <f aca="false">IF(COUNT($D88:$E88)=0,"",IF(AND(MIN($D88:$E88)&lt;=K$9+6,MAX($D88:$E88)&gt;=K$9),1,""))</f>
        <v>1</v>
      </c>
      <c r="L88" s="21" t="str">
        <f aca="false">IF(COUNT($D88:$E88)=0,"",IF(AND(MIN($D88:$E88)&lt;=L$9+6,MAX($D88:$E88)&gt;=L$9),1,""))</f>
        <v/>
      </c>
      <c r="M88" s="21" t="str">
        <f aca="false">IF(COUNT($D88:$E88)=0,"",IF(AND(MIN($D88:$E88)&lt;=M$9+6,MAX($D88:$E88)&gt;=M$9),1,""))</f>
        <v/>
      </c>
      <c r="N88" s="21" t="str">
        <f aca="false">IF(COUNT($D88:$E88)=0,"",IF(AND(MIN($D88:$E88)&lt;=N$9+6,MAX($D88:$E88)&gt;=N$9),1,""))</f>
        <v/>
      </c>
      <c r="O88" s="21" t="str">
        <f aca="false">IF(COUNT($D88:$E88)=0,"",IF(AND(MIN($D88:$E88)&lt;=O$9+6,MAX($D88:$E88)&gt;=O$9),1,""))</f>
        <v/>
      </c>
      <c r="P88" s="21" t="str">
        <f aca="false">IF(COUNT($D88:$E88)=0,"",IF(AND(MIN($D88:$E88)&lt;=P$9+6,MAX($D88:$E88)&gt;=P$9),1,""))</f>
        <v/>
      </c>
      <c r="Q88" s="22" t="s">
        <v>313</v>
      </c>
      <c r="R88" s="19" t="s">
        <v>314</v>
      </c>
    </row>
    <row r="89" customFormat="false" ht="30" hidden="false" customHeight="true" outlineLevel="0" collapsed="false">
      <c r="A89" s="18" t="s">
        <v>277</v>
      </c>
      <c r="B89" s="19" t="s">
        <v>315</v>
      </c>
      <c r="C89" s="19" t="s">
        <v>279</v>
      </c>
      <c r="D89" s="20" t="n">
        <v>46335</v>
      </c>
      <c r="E89" s="20" t="n">
        <v>46335</v>
      </c>
      <c r="F89" s="18" t="s">
        <v>15</v>
      </c>
      <c r="G89" s="18" t="s">
        <v>47</v>
      </c>
      <c r="H89" s="21" t="str">
        <f aca="false">IF(COUNT($D89:$E89)=0,"",IF(AND(MIN($D89:$E89)&lt;=H$9+6,MAX($D89:$E89)&gt;=H$9),1,""))</f>
        <v/>
      </c>
      <c r="I89" s="21" t="str">
        <f aca="false">IF(COUNT($D89:$E89)=0,"",IF(AND(MIN($D89:$E89)&lt;=I$9+6,MAX($D89:$E89)&gt;=I$9),1,""))</f>
        <v/>
      </c>
      <c r="J89" s="21" t="n">
        <f aca="false">IF(COUNT($D89:$E89)=0,"",IF(AND(MIN($D89:$E89)&lt;=J$9+6,MAX($D89:$E89)&gt;=J$9),1,""))</f>
        <v>1</v>
      </c>
      <c r="K89" s="21" t="str">
        <f aca="false">IF(COUNT($D89:$E89)=0,"",IF(AND(MIN($D89:$E89)&lt;=K$9+6,MAX($D89:$E89)&gt;=K$9),1,""))</f>
        <v/>
      </c>
      <c r="L89" s="21" t="str">
        <f aca="false">IF(COUNT($D89:$E89)=0,"",IF(AND(MIN($D89:$E89)&lt;=L$9+6,MAX($D89:$E89)&gt;=L$9),1,""))</f>
        <v/>
      </c>
      <c r="M89" s="21" t="str">
        <f aca="false">IF(COUNT($D89:$E89)=0,"",IF(AND(MIN($D89:$E89)&lt;=M$9+6,MAX($D89:$E89)&gt;=M$9),1,""))</f>
        <v/>
      </c>
      <c r="N89" s="21" t="str">
        <f aca="false">IF(COUNT($D89:$E89)=0,"",IF(AND(MIN($D89:$E89)&lt;=N$9+6,MAX($D89:$E89)&gt;=N$9),1,""))</f>
        <v/>
      </c>
      <c r="O89" s="21" t="str">
        <f aca="false">IF(COUNT($D89:$E89)=0,"",IF(AND(MIN($D89:$E89)&lt;=O$9+6,MAX($D89:$E89)&gt;=O$9),1,""))</f>
        <v/>
      </c>
      <c r="P89" s="21" t="str">
        <f aca="false">IF(COUNT($D89:$E89)=0,"",IF(AND(MIN($D89:$E89)&lt;=P$9+6,MAX($D89:$E89)&gt;=P$9),1,""))</f>
        <v/>
      </c>
      <c r="Q89" s="22" t="s">
        <v>38</v>
      </c>
      <c r="R89" s="19"/>
    </row>
    <row r="90" customFormat="false" ht="30" hidden="false" customHeight="true" outlineLevel="0" collapsed="false">
      <c r="A90" s="18" t="s">
        <v>277</v>
      </c>
      <c r="B90" s="19" t="s">
        <v>316</v>
      </c>
      <c r="C90" s="19" t="s">
        <v>317</v>
      </c>
      <c r="D90" s="20" t="n">
        <v>46336</v>
      </c>
      <c r="E90" s="20" t="n">
        <v>46338</v>
      </c>
      <c r="F90" s="18" t="s">
        <v>15</v>
      </c>
      <c r="G90" s="18" t="s">
        <v>47</v>
      </c>
      <c r="H90" s="21" t="str">
        <f aca="false">IF(COUNT($D90:$E90)=0,"",IF(AND(MIN($D90:$E90)&lt;=H$9+6,MAX($D90:$E90)&gt;=H$9),1,""))</f>
        <v/>
      </c>
      <c r="I90" s="21" t="str">
        <f aca="false">IF(COUNT($D90:$E90)=0,"",IF(AND(MIN($D90:$E90)&lt;=I$9+6,MAX($D90:$E90)&gt;=I$9),1,""))</f>
        <v/>
      </c>
      <c r="J90" s="21" t="n">
        <f aca="false">IF(COUNT($D90:$E90)=0,"",IF(AND(MIN($D90:$E90)&lt;=J$9+6,MAX($D90:$E90)&gt;=J$9),1,""))</f>
        <v>1</v>
      </c>
      <c r="K90" s="21" t="str">
        <f aca="false">IF(COUNT($D90:$E90)=0,"",IF(AND(MIN($D90:$E90)&lt;=K$9+6,MAX($D90:$E90)&gt;=K$9),1,""))</f>
        <v/>
      </c>
      <c r="L90" s="21" t="str">
        <f aca="false">IF(COUNT($D90:$E90)=0,"",IF(AND(MIN($D90:$E90)&lt;=L$9+6,MAX($D90:$E90)&gt;=L$9),1,""))</f>
        <v/>
      </c>
      <c r="M90" s="21" t="str">
        <f aca="false">IF(COUNT($D90:$E90)=0,"",IF(AND(MIN($D90:$E90)&lt;=M$9+6,MAX($D90:$E90)&gt;=M$9),1,""))</f>
        <v/>
      </c>
      <c r="N90" s="21" t="str">
        <f aca="false">IF(COUNT($D90:$E90)=0,"",IF(AND(MIN($D90:$E90)&lt;=N$9+6,MAX($D90:$E90)&gt;=N$9),1,""))</f>
        <v/>
      </c>
      <c r="O90" s="21" t="str">
        <f aca="false">IF(COUNT($D90:$E90)=0,"",IF(AND(MIN($D90:$E90)&lt;=O$9+6,MAX($D90:$E90)&gt;=O$9),1,""))</f>
        <v/>
      </c>
      <c r="P90" s="21" t="str">
        <f aca="false">IF(COUNT($D90:$E90)=0,"",IF(AND(MIN($D90:$E90)&lt;=P$9+6,MAX($D90:$E90)&gt;=P$9),1,""))</f>
        <v/>
      </c>
      <c r="Q90" s="22" t="s">
        <v>290</v>
      </c>
      <c r="R90" s="19" t="s">
        <v>318</v>
      </c>
    </row>
    <row r="91" customFormat="false" ht="30" hidden="false" customHeight="true" outlineLevel="0" collapsed="false">
      <c r="A91" s="18" t="s">
        <v>277</v>
      </c>
      <c r="B91" s="19" t="s">
        <v>319</v>
      </c>
      <c r="C91" s="19" t="s">
        <v>317</v>
      </c>
      <c r="D91" s="20" t="n">
        <v>46343</v>
      </c>
      <c r="E91" s="20" t="n">
        <v>46343</v>
      </c>
      <c r="F91" s="18" t="s">
        <v>15</v>
      </c>
      <c r="G91" s="18" t="s">
        <v>47</v>
      </c>
      <c r="H91" s="21" t="str">
        <f aca="false">IF(COUNT($D91:$E91)=0,"",IF(AND(MIN($D91:$E91)&lt;=H$9+6,MAX($D91:$E91)&gt;=H$9),1,""))</f>
        <v/>
      </c>
      <c r="I91" s="21" t="str">
        <f aca="false">IF(COUNT($D91:$E91)=0,"",IF(AND(MIN($D91:$E91)&lt;=I$9+6,MAX($D91:$E91)&gt;=I$9),1,""))</f>
        <v/>
      </c>
      <c r="J91" s="21" t="str">
        <f aca="false">IF(COUNT($D91:$E91)=0,"",IF(AND(MIN($D91:$E91)&lt;=J$9+6,MAX($D91:$E91)&gt;=J$9),1,""))</f>
        <v/>
      </c>
      <c r="K91" s="21" t="n">
        <f aca="false">IF(COUNT($D91:$E91)=0,"",IF(AND(MIN($D91:$E91)&lt;=K$9+6,MAX($D91:$E91)&gt;=K$9),1,""))</f>
        <v>1</v>
      </c>
      <c r="L91" s="21" t="str">
        <f aca="false">IF(COUNT($D91:$E91)=0,"",IF(AND(MIN($D91:$E91)&lt;=L$9+6,MAX($D91:$E91)&gt;=L$9),1,""))</f>
        <v/>
      </c>
      <c r="M91" s="21" t="str">
        <f aca="false">IF(COUNT($D91:$E91)=0,"",IF(AND(MIN($D91:$E91)&lt;=M$9+6,MAX($D91:$E91)&gt;=M$9),1,""))</f>
        <v/>
      </c>
      <c r="N91" s="21" t="str">
        <f aca="false">IF(COUNT($D91:$E91)=0,"",IF(AND(MIN($D91:$E91)&lt;=N$9+6,MAX($D91:$E91)&gt;=N$9),1,""))</f>
        <v/>
      </c>
      <c r="O91" s="21" t="str">
        <f aca="false">IF(COUNT($D91:$E91)=0,"",IF(AND(MIN($D91:$E91)&lt;=O$9+6,MAX($D91:$E91)&gt;=O$9),1,""))</f>
        <v/>
      </c>
      <c r="P91" s="21" t="str">
        <f aca="false">IF(COUNT($D91:$E91)=0,"",IF(AND(MIN($D91:$E91)&lt;=P$9+6,MAX($D91:$E91)&gt;=P$9),1,""))</f>
        <v/>
      </c>
      <c r="Q91" s="22" t="s">
        <v>290</v>
      </c>
      <c r="R91" s="19" t="s">
        <v>320</v>
      </c>
    </row>
    <row r="92" customFormat="false" ht="30" hidden="false" customHeight="true" outlineLevel="0" collapsed="false">
      <c r="A92" s="18" t="s">
        <v>304</v>
      </c>
      <c r="B92" s="19" t="s">
        <v>321</v>
      </c>
      <c r="C92" s="19" t="s">
        <v>134</v>
      </c>
      <c r="D92" s="20" t="n">
        <v>46343</v>
      </c>
      <c r="E92" s="20" t="n">
        <v>46366</v>
      </c>
      <c r="F92" s="18" t="s">
        <v>15</v>
      </c>
      <c r="G92" s="18" t="s">
        <v>42</v>
      </c>
      <c r="H92" s="21" t="str">
        <f aca="false">IF(COUNT($D92:$E92)=0,"",IF(AND(MIN($D92:$E92)&lt;=H$9+6,MAX($D92:$E92)&gt;=H$9),1,""))</f>
        <v/>
      </c>
      <c r="I92" s="21" t="str">
        <f aca="false">IF(COUNT($D92:$E92)=0,"",IF(AND(MIN($D92:$E92)&lt;=I$9+6,MAX($D92:$E92)&gt;=I$9),1,""))</f>
        <v/>
      </c>
      <c r="J92" s="21" t="str">
        <f aca="false">IF(COUNT($D92:$E92)=0,"",IF(AND(MIN($D92:$E92)&lt;=J$9+6,MAX($D92:$E92)&gt;=J$9),1,""))</f>
        <v/>
      </c>
      <c r="K92" s="21" t="n">
        <f aca="false">IF(COUNT($D92:$E92)=0,"",IF(AND(MIN($D92:$E92)&lt;=K$9+6,MAX($D92:$E92)&gt;=K$9),1,""))</f>
        <v>1</v>
      </c>
      <c r="L92" s="21" t="n">
        <f aca="false">IF(COUNT($D92:$E92)=0,"",IF(AND(MIN($D92:$E92)&lt;=L$9+6,MAX($D92:$E92)&gt;=L$9),1,""))</f>
        <v>1</v>
      </c>
      <c r="M92" s="21" t="n">
        <f aca="false">IF(COUNT($D92:$E92)=0,"",IF(AND(MIN($D92:$E92)&lt;=M$9+6,MAX($D92:$E92)&gt;=M$9),1,""))</f>
        <v>1</v>
      </c>
      <c r="N92" s="21" t="n">
        <f aca="false">IF(COUNT($D92:$E92)=0,"",IF(AND(MIN($D92:$E92)&lt;=N$9+6,MAX($D92:$E92)&gt;=N$9),1,""))</f>
        <v>1</v>
      </c>
      <c r="O92" s="21" t="str">
        <f aca="false">IF(COUNT($D92:$E92)=0,"",IF(AND(MIN($D92:$E92)&lt;=O$9+6,MAX($D92:$E92)&gt;=O$9),1,""))</f>
        <v/>
      </c>
      <c r="P92" s="21" t="str">
        <f aca="false">IF(COUNT($D92:$E92)=0,"",IF(AND(MIN($D92:$E92)&lt;=P$9+6,MAX($D92:$E92)&gt;=P$9),1,""))</f>
        <v/>
      </c>
      <c r="Q92" s="22" t="s">
        <v>322</v>
      </c>
      <c r="R92" s="19" t="s">
        <v>323</v>
      </c>
    </row>
    <row r="93" customFormat="false" ht="30" hidden="false" customHeight="true" outlineLevel="0" collapsed="false">
      <c r="A93" s="18" t="s">
        <v>304</v>
      </c>
      <c r="B93" s="19" t="s">
        <v>324</v>
      </c>
      <c r="C93" s="19" t="s">
        <v>134</v>
      </c>
      <c r="D93" s="20" t="n">
        <v>46343</v>
      </c>
      <c r="E93" s="20" t="n">
        <v>46366</v>
      </c>
      <c r="F93" s="18" t="s">
        <v>15</v>
      </c>
      <c r="G93" s="18" t="s">
        <v>42</v>
      </c>
      <c r="H93" s="21" t="str">
        <f aca="false">IF(COUNT($D93:$E93)=0,"",IF(AND(MIN($D93:$E93)&lt;=H$9+6,MAX($D93:$E93)&gt;=H$9),1,""))</f>
        <v/>
      </c>
      <c r="I93" s="21" t="str">
        <f aca="false">IF(COUNT($D93:$E93)=0,"",IF(AND(MIN($D93:$E93)&lt;=I$9+6,MAX($D93:$E93)&gt;=I$9),1,""))</f>
        <v/>
      </c>
      <c r="J93" s="21" t="str">
        <f aca="false">IF(COUNT($D93:$E93)=0,"",IF(AND(MIN($D93:$E93)&lt;=J$9+6,MAX($D93:$E93)&gt;=J$9),1,""))</f>
        <v/>
      </c>
      <c r="K93" s="21" t="n">
        <f aca="false">IF(COUNT($D93:$E93)=0,"",IF(AND(MIN($D93:$E93)&lt;=K$9+6,MAX($D93:$E93)&gt;=K$9),1,""))</f>
        <v>1</v>
      </c>
      <c r="L93" s="21" t="n">
        <f aca="false">IF(COUNT($D93:$E93)=0,"",IF(AND(MIN($D93:$E93)&lt;=L$9+6,MAX($D93:$E93)&gt;=L$9),1,""))</f>
        <v>1</v>
      </c>
      <c r="M93" s="21" t="n">
        <f aca="false">IF(COUNT($D93:$E93)=0,"",IF(AND(MIN($D93:$E93)&lt;=M$9+6,MAX($D93:$E93)&gt;=M$9),1,""))</f>
        <v>1</v>
      </c>
      <c r="N93" s="21" t="n">
        <f aca="false">IF(COUNT($D93:$E93)=0,"",IF(AND(MIN($D93:$E93)&lt;=N$9+6,MAX($D93:$E93)&gt;=N$9),1,""))</f>
        <v>1</v>
      </c>
      <c r="O93" s="21" t="str">
        <f aca="false">IF(COUNT($D93:$E93)=0,"",IF(AND(MIN($D93:$E93)&lt;=O$9+6,MAX($D93:$E93)&gt;=O$9),1,""))</f>
        <v/>
      </c>
      <c r="P93" s="21" t="str">
        <f aca="false">IF(COUNT($D93:$E93)=0,"",IF(AND(MIN($D93:$E93)&lt;=P$9+6,MAX($D93:$E93)&gt;=P$9),1,""))</f>
        <v/>
      </c>
      <c r="Q93" s="22" t="s">
        <v>325</v>
      </c>
      <c r="R93" s="19" t="s">
        <v>326</v>
      </c>
    </row>
    <row r="94" customFormat="false" ht="30" hidden="false" customHeight="true" outlineLevel="0" collapsed="false">
      <c r="A94" s="18" t="s">
        <v>327</v>
      </c>
      <c r="B94" s="19" t="s">
        <v>328</v>
      </c>
      <c r="C94" s="19" t="s">
        <v>134</v>
      </c>
      <c r="D94" s="20" t="n">
        <v>46343</v>
      </c>
      <c r="E94" s="20" t="n">
        <v>46343</v>
      </c>
      <c r="F94" s="18" t="s">
        <v>15</v>
      </c>
      <c r="G94" s="18" t="s">
        <v>47</v>
      </c>
      <c r="H94" s="21" t="str">
        <f aca="false">IF(COUNT($D94:$E94)=0,"",IF(AND(MIN($D94:$E94)&lt;=H$9+6,MAX($D94:$E94)&gt;=H$9),1,""))</f>
        <v/>
      </c>
      <c r="I94" s="21" t="str">
        <f aca="false">IF(COUNT($D94:$E94)=0,"",IF(AND(MIN($D94:$E94)&lt;=I$9+6,MAX($D94:$E94)&gt;=I$9),1,""))</f>
        <v/>
      </c>
      <c r="J94" s="21" t="str">
        <f aca="false">IF(COUNT($D94:$E94)=0,"",IF(AND(MIN($D94:$E94)&lt;=J$9+6,MAX($D94:$E94)&gt;=J$9),1,""))</f>
        <v/>
      </c>
      <c r="K94" s="21" t="n">
        <f aca="false">IF(COUNT($D94:$E94)=0,"",IF(AND(MIN($D94:$E94)&lt;=K$9+6,MAX($D94:$E94)&gt;=K$9),1,""))</f>
        <v>1</v>
      </c>
      <c r="L94" s="21" t="str">
        <f aca="false">IF(COUNT($D94:$E94)=0,"",IF(AND(MIN($D94:$E94)&lt;=L$9+6,MAX($D94:$E94)&gt;=L$9),1,""))</f>
        <v/>
      </c>
      <c r="M94" s="21" t="str">
        <f aca="false">IF(COUNT($D94:$E94)=0,"",IF(AND(MIN($D94:$E94)&lt;=M$9+6,MAX($D94:$E94)&gt;=M$9),1,""))</f>
        <v/>
      </c>
      <c r="N94" s="21" t="str">
        <f aca="false">IF(COUNT($D94:$E94)=0,"",IF(AND(MIN($D94:$E94)&lt;=N$9+6,MAX($D94:$E94)&gt;=N$9),1,""))</f>
        <v/>
      </c>
      <c r="O94" s="21" t="str">
        <f aca="false">IF(COUNT($D94:$E94)=0,"",IF(AND(MIN($D94:$E94)&lt;=O$9+6,MAX($D94:$E94)&gt;=O$9),1,""))</f>
        <v/>
      </c>
      <c r="P94" s="21" t="str">
        <f aca="false">IF(COUNT($D94:$E94)=0,"",IF(AND(MIN($D94:$E94)&lt;=P$9+6,MAX($D94:$E94)&gt;=P$9),1,""))</f>
        <v/>
      </c>
      <c r="Q94" s="22" t="s">
        <v>329</v>
      </c>
      <c r="R94" s="19" t="s">
        <v>330</v>
      </c>
    </row>
    <row r="95" customFormat="false" ht="30" hidden="false" customHeight="true" outlineLevel="0" collapsed="false">
      <c r="A95" s="18" t="s">
        <v>76</v>
      </c>
      <c r="B95" s="19" t="s">
        <v>331</v>
      </c>
      <c r="C95" s="19" t="s">
        <v>38</v>
      </c>
      <c r="D95" s="20" t="n">
        <v>46345</v>
      </c>
      <c r="E95" s="20" t="n">
        <v>46348</v>
      </c>
      <c r="F95" s="18" t="s">
        <v>76</v>
      </c>
      <c r="G95" s="18" t="s">
        <v>66</v>
      </c>
      <c r="H95" s="21" t="str">
        <f aca="false">IF(COUNT($D95:$E95)=0,"",IF(AND(MIN($D95:$E95)&lt;=H$9+6,MAX($D95:$E95)&gt;=H$9),1,""))</f>
        <v/>
      </c>
      <c r="I95" s="21" t="str">
        <f aca="false">IF(COUNT($D95:$E95)=0,"",IF(AND(MIN($D95:$E95)&lt;=I$9+6,MAX($D95:$E95)&gt;=I$9),1,""))</f>
        <v/>
      </c>
      <c r="J95" s="21" t="str">
        <f aca="false">IF(COUNT($D95:$E95)=0,"",IF(AND(MIN($D95:$E95)&lt;=J$9+6,MAX($D95:$E95)&gt;=J$9),1,""))</f>
        <v/>
      </c>
      <c r="K95" s="21" t="n">
        <f aca="false">IF(COUNT($D95:$E95)=0,"",IF(AND(MIN($D95:$E95)&lt;=K$9+6,MAX($D95:$E95)&gt;=K$9),1,""))</f>
        <v>1</v>
      </c>
      <c r="L95" s="21" t="str">
        <f aca="false">IF(COUNT($D95:$E95)=0,"",IF(AND(MIN($D95:$E95)&lt;=L$9+6,MAX($D95:$E95)&gt;=L$9),1,""))</f>
        <v/>
      </c>
      <c r="M95" s="21" t="str">
        <f aca="false">IF(COUNT($D95:$E95)=0,"",IF(AND(MIN($D95:$E95)&lt;=M$9+6,MAX($D95:$E95)&gt;=M$9),1,""))</f>
        <v/>
      </c>
      <c r="N95" s="21" t="str">
        <f aca="false">IF(COUNT($D95:$E95)=0,"",IF(AND(MIN($D95:$E95)&lt;=N$9+6,MAX($D95:$E95)&gt;=N$9),1,""))</f>
        <v/>
      </c>
      <c r="O95" s="21" t="str">
        <f aca="false">IF(COUNT($D95:$E95)=0,"",IF(AND(MIN($D95:$E95)&lt;=O$9+6,MAX($D95:$E95)&gt;=O$9),1,""))</f>
        <v/>
      </c>
      <c r="P95" s="21" t="str">
        <f aca="false">IF(COUNT($D95:$E95)=0,"",IF(AND(MIN($D95:$E95)&lt;=P$9+6,MAX($D95:$E95)&gt;=P$9),1,""))</f>
        <v/>
      </c>
      <c r="Q95" s="22" t="s">
        <v>332</v>
      </c>
      <c r="R95" s="19" t="s">
        <v>333</v>
      </c>
    </row>
    <row r="96" customFormat="false" ht="30" hidden="false" customHeight="true" outlineLevel="0" collapsed="false">
      <c r="A96" s="18" t="s">
        <v>277</v>
      </c>
      <c r="B96" s="19" t="s">
        <v>334</v>
      </c>
      <c r="C96" s="19" t="s">
        <v>317</v>
      </c>
      <c r="D96" s="20" t="n">
        <v>46351</v>
      </c>
      <c r="E96" s="20" t="n">
        <v>46353</v>
      </c>
      <c r="F96" s="18" t="s">
        <v>15</v>
      </c>
      <c r="G96" s="18" t="s">
        <v>47</v>
      </c>
      <c r="H96" s="21" t="str">
        <f aca="false">IF(COUNT($D96:$E96)=0,"",IF(AND(MIN($D96:$E96)&lt;=H$9+6,MAX($D96:$E96)&gt;=H$9),1,""))</f>
        <v/>
      </c>
      <c r="I96" s="21" t="str">
        <f aca="false">IF(COUNT($D96:$E96)=0,"",IF(AND(MIN($D96:$E96)&lt;=I$9+6,MAX($D96:$E96)&gt;=I$9),1,""))</f>
        <v/>
      </c>
      <c r="J96" s="21" t="str">
        <f aca="false">IF(COUNT($D96:$E96)=0,"",IF(AND(MIN($D96:$E96)&lt;=J$9+6,MAX($D96:$E96)&gt;=J$9),1,""))</f>
        <v/>
      </c>
      <c r="K96" s="21" t="str">
        <f aca="false">IF(COUNT($D96:$E96)=0,"",IF(AND(MIN($D96:$E96)&lt;=K$9+6,MAX($D96:$E96)&gt;=K$9),1,""))</f>
        <v/>
      </c>
      <c r="L96" s="21" t="n">
        <f aca="false">IF(COUNT($D96:$E96)=0,"",IF(AND(MIN($D96:$E96)&lt;=L$9+6,MAX($D96:$E96)&gt;=L$9),1,""))</f>
        <v>1</v>
      </c>
      <c r="M96" s="21" t="str">
        <f aca="false">IF(COUNT($D96:$E96)=0,"",IF(AND(MIN($D96:$E96)&lt;=M$9+6,MAX($D96:$E96)&gt;=M$9),1,""))</f>
        <v/>
      </c>
      <c r="N96" s="21" t="str">
        <f aca="false">IF(COUNT($D96:$E96)=0,"",IF(AND(MIN($D96:$E96)&lt;=N$9+6,MAX($D96:$E96)&gt;=N$9),1,""))</f>
        <v/>
      </c>
      <c r="O96" s="21" t="str">
        <f aca="false">IF(COUNT($D96:$E96)=0,"",IF(AND(MIN($D96:$E96)&lt;=O$9+6,MAX($D96:$E96)&gt;=O$9),1,""))</f>
        <v/>
      </c>
      <c r="P96" s="21" t="str">
        <f aca="false">IF(COUNT($D96:$E96)=0,"",IF(AND(MIN($D96:$E96)&lt;=P$9+6,MAX($D96:$E96)&gt;=P$9),1,""))</f>
        <v/>
      </c>
      <c r="Q96" s="22" t="s">
        <v>290</v>
      </c>
      <c r="R96" s="19"/>
    </row>
    <row r="97" customFormat="false" ht="30" hidden="false" customHeight="true" outlineLevel="0" collapsed="false">
      <c r="A97" s="18" t="s">
        <v>277</v>
      </c>
      <c r="B97" s="19" t="s">
        <v>335</v>
      </c>
      <c r="C97" s="19" t="s">
        <v>317</v>
      </c>
      <c r="D97" s="20" t="n">
        <v>46360</v>
      </c>
      <c r="E97" s="20" t="n">
        <v>46360</v>
      </c>
      <c r="F97" s="18" t="s">
        <v>15</v>
      </c>
      <c r="G97" s="18" t="s">
        <v>47</v>
      </c>
      <c r="H97" s="21" t="str">
        <f aca="false">IF(COUNT($D97:$E97)=0,"",IF(AND(MIN($D97:$E97)&lt;=H$9+6,MAX($D97:$E97)&gt;=H$9),1,""))</f>
        <v/>
      </c>
      <c r="I97" s="21" t="str">
        <f aca="false">IF(COUNT($D97:$E97)=0,"",IF(AND(MIN($D97:$E97)&lt;=I$9+6,MAX($D97:$E97)&gt;=I$9),1,""))</f>
        <v/>
      </c>
      <c r="J97" s="21" t="str">
        <f aca="false">IF(COUNT($D97:$E97)=0,"",IF(AND(MIN($D97:$E97)&lt;=J$9+6,MAX($D97:$E97)&gt;=J$9),1,""))</f>
        <v/>
      </c>
      <c r="K97" s="21" t="str">
        <f aca="false">IF(COUNT($D97:$E97)=0,"",IF(AND(MIN($D97:$E97)&lt;=K$9+6,MAX($D97:$E97)&gt;=K$9),1,""))</f>
        <v/>
      </c>
      <c r="L97" s="21" t="str">
        <f aca="false">IF(COUNT($D97:$E97)=0,"",IF(AND(MIN($D97:$E97)&lt;=L$9+6,MAX($D97:$E97)&gt;=L$9),1,""))</f>
        <v/>
      </c>
      <c r="M97" s="21" t="n">
        <f aca="false">IF(COUNT($D97:$E97)=0,"",IF(AND(MIN($D97:$E97)&lt;=M$9+6,MAX($D97:$E97)&gt;=M$9),1,""))</f>
        <v>1</v>
      </c>
      <c r="N97" s="21" t="str">
        <f aca="false">IF(COUNT($D97:$E97)=0,"",IF(AND(MIN($D97:$E97)&lt;=N$9+6,MAX($D97:$E97)&gt;=N$9),1,""))</f>
        <v/>
      </c>
      <c r="O97" s="21" t="str">
        <f aca="false">IF(COUNT($D97:$E97)=0,"",IF(AND(MIN($D97:$E97)&lt;=O$9+6,MAX($D97:$E97)&gt;=O$9),1,""))</f>
        <v/>
      </c>
      <c r="P97" s="21" t="str">
        <f aca="false">IF(COUNT($D97:$E97)=0,"",IF(AND(MIN($D97:$E97)&lt;=P$9+6,MAX($D97:$E97)&gt;=P$9),1,""))</f>
        <v/>
      </c>
      <c r="Q97" s="22" t="s">
        <v>290</v>
      </c>
      <c r="R97" s="19" t="s">
        <v>336</v>
      </c>
    </row>
    <row r="98" customFormat="false" ht="30" hidden="false" customHeight="true" outlineLevel="0" collapsed="false">
      <c r="A98" s="18" t="s">
        <v>277</v>
      </c>
      <c r="B98" s="19" t="s">
        <v>337</v>
      </c>
      <c r="C98" s="19" t="s">
        <v>317</v>
      </c>
      <c r="D98" s="20" t="n">
        <v>46364</v>
      </c>
      <c r="E98" s="20" t="n">
        <v>46364</v>
      </c>
      <c r="F98" s="18" t="s">
        <v>15</v>
      </c>
      <c r="G98" s="18" t="s">
        <v>47</v>
      </c>
      <c r="H98" s="21" t="str">
        <f aca="false">IF(COUNT($D98:$E98)=0,"",IF(AND(MIN($D98:$E98)&lt;=H$9+6,MAX($D98:$E98)&gt;=H$9),1,""))</f>
        <v/>
      </c>
      <c r="I98" s="21" t="str">
        <f aca="false">IF(COUNT($D98:$E98)=0,"",IF(AND(MIN($D98:$E98)&lt;=I$9+6,MAX($D98:$E98)&gt;=I$9),1,""))</f>
        <v/>
      </c>
      <c r="J98" s="21" t="str">
        <f aca="false">IF(COUNT($D98:$E98)=0,"",IF(AND(MIN($D98:$E98)&lt;=J$9+6,MAX($D98:$E98)&gt;=J$9),1,""))</f>
        <v/>
      </c>
      <c r="K98" s="21" t="str">
        <f aca="false">IF(COUNT($D98:$E98)=0,"",IF(AND(MIN($D98:$E98)&lt;=K$9+6,MAX($D98:$E98)&gt;=K$9),1,""))</f>
        <v/>
      </c>
      <c r="L98" s="21" t="str">
        <f aca="false">IF(COUNT($D98:$E98)=0,"",IF(AND(MIN($D98:$E98)&lt;=L$9+6,MAX($D98:$E98)&gt;=L$9),1,""))</f>
        <v/>
      </c>
      <c r="M98" s="21" t="str">
        <f aca="false">IF(COUNT($D98:$E98)=0,"",IF(AND(MIN($D98:$E98)&lt;=M$9+6,MAX($D98:$E98)&gt;=M$9),1,""))</f>
        <v/>
      </c>
      <c r="N98" s="21" t="n">
        <f aca="false">IF(COUNT($D98:$E98)=0,"",IF(AND(MIN($D98:$E98)&lt;=N$9+6,MAX($D98:$E98)&gt;=N$9),1,""))</f>
        <v>1</v>
      </c>
      <c r="O98" s="21" t="str">
        <f aca="false">IF(COUNT($D98:$E98)=0,"",IF(AND(MIN($D98:$E98)&lt;=O$9+6,MAX($D98:$E98)&gt;=O$9),1,""))</f>
        <v/>
      </c>
      <c r="P98" s="21" t="str">
        <f aca="false">IF(COUNT($D98:$E98)=0,"",IF(AND(MIN($D98:$E98)&lt;=P$9+6,MAX($D98:$E98)&gt;=P$9),1,""))</f>
        <v/>
      </c>
      <c r="Q98" s="22" t="s">
        <v>290</v>
      </c>
      <c r="R98" s="19"/>
    </row>
    <row r="99" customFormat="false" ht="30" hidden="false" customHeight="true" outlineLevel="0" collapsed="false">
      <c r="A99" s="18" t="s">
        <v>277</v>
      </c>
      <c r="B99" s="19" t="s">
        <v>338</v>
      </c>
      <c r="C99" s="19" t="s">
        <v>339</v>
      </c>
      <c r="D99" s="20"/>
      <c r="E99" s="20"/>
      <c r="F99" s="18" t="s">
        <v>15</v>
      </c>
      <c r="G99" s="18" t="s">
        <v>42</v>
      </c>
      <c r="H99" s="21" t="str">
        <f aca="false">IF(COUNT($D99:$E99)=0,"",IF(AND(MIN($D99:$E99)&lt;=H$9+6,MAX($D99:$E99)&gt;=H$9),1,""))</f>
        <v/>
      </c>
      <c r="I99" s="21" t="str">
        <f aca="false">IF(COUNT($D99:$E99)=0,"",IF(AND(MIN($D99:$E99)&lt;=I$9+6,MAX($D99:$E99)&gt;=I$9),1,""))</f>
        <v/>
      </c>
      <c r="J99" s="21" t="str">
        <f aca="false">IF(COUNT($D99:$E99)=0,"",IF(AND(MIN($D99:$E99)&lt;=J$9+6,MAX($D99:$E99)&gt;=J$9),1,""))</f>
        <v/>
      </c>
      <c r="K99" s="21" t="str">
        <f aca="false">IF(COUNT($D99:$E99)=0,"",IF(AND(MIN($D99:$E99)&lt;=K$9+6,MAX($D99:$E99)&gt;=K$9),1,""))</f>
        <v/>
      </c>
      <c r="L99" s="21" t="str">
        <f aca="false">IF(COUNT($D99:$E99)=0,"",IF(AND(MIN($D99:$E99)&lt;=L$9+6,MAX($D99:$E99)&gt;=L$9),1,""))</f>
        <v/>
      </c>
      <c r="M99" s="21" t="str">
        <f aca="false">IF(COUNT($D99:$E99)=0,"",IF(AND(MIN($D99:$E99)&lt;=M$9+6,MAX($D99:$E99)&gt;=M$9),1,""))</f>
        <v/>
      </c>
      <c r="N99" s="21" t="str">
        <f aca="false">IF(COUNT($D99:$E99)=0,"",IF(AND(MIN($D99:$E99)&lt;=N$9+6,MAX($D99:$E99)&gt;=N$9),1,""))</f>
        <v/>
      </c>
      <c r="O99" s="21" t="str">
        <f aca="false">IF(COUNT($D99:$E99)=0,"",IF(AND(MIN($D99:$E99)&lt;=O$9+6,MAX($D99:$E99)&gt;=O$9),1,""))</f>
        <v/>
      </c>
      <c r="P99" s="21" t="str">
        <f aca="false">IF(COUNT($D99:$E99)=0,"",IF(AND(MIN($D99:$E99)&lt;=P$9+6,MAX($D99:$E99)&gt;=P$9),1,""))</f>
        <v/>
      </c>
      <c r="Q99" s="22" t="s">
        <v>340</v>
      </c>
      <c r="R99" s="19" t="s">
        <v>341</v>
      </c>
    </row>
    <row r="100" customFormat="false" ht="30" hidden="false" customHeight="true" outlineLevel="0" collapsed="false">
      <c r="A100" s="18" t="s">
        <v>342</v>
      </c>
      <c r="B100" s="19" t="s">
        <v>343</v>
      </c>
      <c r="C100" s="19" t="s">
        <v>344</v>
      </c>
      <c r="D100" s="20"/>
      <c r="E100" s="20"/>
      <c r="F100" s="18" t="s">
        <v>15</v>
      </c>
      <c r="G100" s="18" t="s">
        <v>42</v>
      </c>
      <c r="H100" s="21" t="str">
        <f aca="false">IF(COUNT($D100:$E100)=0,"",IF(AND(MIN($D100:$E100)&lt;=H$9+6,MAX($D100:$E100)&gt;=H$9),1,""))</f>
        <v/>
      </c>
      <c r="I100" s="21" t="str">
        <f aca="false">IF(COUNT($D100:$E100)=0,"",IF(AND(MIN($D100:$E100)&lt;=I$9+6,MAX($D100:$E100)&gt;=I$9),1,""))</f>
        <v/>
      </c>
      <c r="J100" s="21" t="str">
        <f aca="false">IF(COUNT($D100:$E100)=0,"",IF(AND(MIN($D100:$E100)&lt;=J$9+6,MAX($D100:$E100)&gt;=J$9),1,""))</f>
        <v/>
      </c>
      <c r="K100" s="21" t="str">
        <f aca="false">IF(COUNT($D100:$E100)=0,"",IF(AND(MIN($D100:$E100)&lt;=K$9+6,MAX($D100:$E100)&gt;=K$9),1,""))</f>
        <v/>
      </c>
      <c r="L100" s="21" t="str">
        <f aca="false">IF(COUNT($D100:$E100)=0,"",IF(AND(MIN($D100:$E100)&lt;=L$9+6,MAX($D100:$E100)&gt;=L$9),1,""))</f>
        <v/>
      </c>
      <c r="M100" s="21" t="str">
        <f aca="false">IF(COUNT($D100:$E100)=0,"",IF(AND(MIN($D100:$E100)&lt;=M$9+6,MAX($D100:$E100)&gt;=M$9),1,""))</f>
        <v/>
      </c>
      <c r="N100" s="21" t="str">
        <f aca="false">IF(COUNT($D100:$E100)=0,"",IF(AND(MIN($D100:$E100)&lt;=N$9+6,MAX($D100:$E100)&gt;=N$9),1,""))</f>
        <v/>
      </c>
      <c r="O100" s="21" t="str">
        <f aca="false">IF(COUNT($D100:$E100)=0,"",IF(AND(MIN($D100:$E100)&lt;=O$9+6,MAX($D100:$E100)&gt;=O$9),1,""))</f>
        <v/>
      </c>
      <c r="P100" s="21" t="str">
        <f aca="false">IF(COUNT($D100:$E100)=0,"",IF(AND(MIN($D100:$E100)&lt;=P$9+6,MAX($D100:$E100)&gt;=P$9),1,""))</f>
        <v/>
      </c>
      <c r="Q100" s="22" t="s">
        <v>345</v>
      </c>
      <c r="R100" s="19" t="s">
        <v>346</v>
      </c>
    </row>
    <row r="101" customFormat="false" ht="30" hidden="false" customHeight="true" outlineLevel="0" collapsed="false">
      <c r="A101" s="18" t="s">
        <v>342</v>
      </c>
      <c r="B101" s="19" t="s">
        <v>347</v>
      </c>
      <c r="C101" s="19" t="s">
        <v>339</v>
      </c>
      <c r="D101" s="20"/>
      <c r="E101" s="20" t="n">
        <v>46349</v>
      </c>
      <c r="F101" s="18" t="s">
        <v>15</v>
      </c>
      <c r="G101" s="18" t="s">
        <v>47</v>
      </c>
      <c r="H101" s="21" t="str">
        <f aca="false">IF(COUNT($D101:$E101)=0,"",IF(AND(MIN($D101:$E101)&lt;=H$9+6,MAX($D101:$E101)&gt;=H$9),1,""))</f>
        <v/>
      </c>
      <c r="I101" s="21" t="str">
        <f aca="false">IF(COUNT($D101:$E101)=0,"",IF(AND(MIN($D101:$E101)&lt;=I$9+6,MAX($D101:$E101)&gt;=I$9),1,""))</f>
        <v/>
      </c>
      <c r="J101" s="21" t="str">
        <f aca="false">IF(COUNT($D101:$E101)=0,"",IF(AND(MIN($D101:$E101)&lt;=J$9+6,MAX($D101:$E101)&gt;=J$9),1,""))</f>
        <v/>
      </c>
      <c r="K101" s="21" t="str">
        <f aca="false">IF(COUNT($D101:$E101)=0,"",IF(AND(MIN($D101:$E101)&lt;=K$9+6,MAX($D101:$E101)&gt;=K$9),1,""))</f>
        <v/>
      </c>
      <c r="L101" s="21" t="n">
        <f aca="false">IF(COUNT($D101:$E101)=0,"",IF(AND(MIN($D101:$E101)&lt;=L$9+6,MAX($D101:$E101)&gt;=L$9),1,""))</f>
        <v>1</v>
      </c>
      <c r="M101" s="21" t="str">
        <f aca="false">IF(COUNT($D101:$E101)=0,"",IF(AND(MIN($D101:$E101)&lt;=M$9+6,MAX($D101:$E101)&gt;=M$9),1,""))</f>
        <v/>
      </c>
      <c r="N101" s="21" t="str">
        <f aca="false">IF(COUNT($D101:$E101)=0,"",IF(AND(MIN($D101:$E101)&lt;=N$9+6,MAX($D101:$E101)&gt;=N$9),1,""))</f>
        <v/>
      </c>
      <c r="O101" s="21" t="str">
        <f aca="false">IF(COUNT($D101:$E101)=0,"",IF(AND(MIN($D101:$E101)&lt;=O$9+6,MAX($D101:$E101)&gt;=O$9),1,""))</f>
        <v/>
      </c>
      <c r="P101" s="21" t="str">
        <f aca="false">IF(COUNT($D101:$E101)=0,"",IF(AND(MIN($D101:$E101)&lt;=P$9+6,MAX($D101:$E101)&gt;=P$9),1,""))</f>
        <v/>
      </c>
      <c r="Q101" s="22" t="s">
        <v>348</v>
      </c>
      <c r="R101" s="19" t="s">
        <v>349</v>
      </c>
    </row>
    <row r="102" customFormat="false" ht="30" hidden="false" customHeight="true" outlineLevel="0" collapsed="false">
      <c r="A102" s="18" t="s">
        <v>342</v>
      </c>
      <c r="B102" s="19" t="s">
        <v>350</v>
      </c>
      <c r="C102" s="19" t="s">
        <v>351</v>
      </c>
      <c r="D102" s="20" t="n">
        <v>46343</v>
      </c>
      <c r="E102" s="20" t="n">
        <v>46364</v>
      </c>
      <c r="F102" s="18" t="s">
        <v>15</v>
      </c>
      <c r="G102" s="18" t="s">
        <v>42</v>
      </c>
      <c r="H102" s="21" t="str">
        <f aca="false">IF(COUNT($D102:$E102)=0,"",IF(AND(MIN($D102:$E102)&lt;=H$9+6,MAX($D102:$E102)&gt;=H$9),1,""))</f>
        <v/>
      </c>
      <c r="I102" s="21" t="str">
        <f aca="false">IF(COUNT($D102:$E102)=0,"",IF(AND(MIN($D102:$E102)&lt;=I$9+6,MAX($D102:$E102)&gt;=I$9),1,""))</f>
        <v/>
      </c>
      <c r="J102" s="21" t="str">
        <f aca="false">IF(COUNT($D102:$E102)=0,"",IF(AND(MIN($D102:$E102)&lt;=J$9+6,MAX($D102:$E102)&gt;=J$9),1,""))</f>
        <v/>
      </c>
      <c r="K102" s="21" t="n">
        <f aca="false">IF(COUNT($D102:$E102)=0,"",IF(AND(MIN($D102:$E102)&lt;=K$9+6,MAX($D102:$E102)&gt;=K$9),1,""))</f>
        <v>1</v>
      </c>
      <c r="L102" s="21" t="n">
        <f aca="false">IF(COUNT($D102:$E102)=0,"",IF(AND(MIN($D102:$E102)&lt;=L$9+6,MAX($D102:$E102)&gt;=L$9),1,""))</f>
        <v>1</v>
      </c>
      <c r="M102" s="21" t="n">
        <f aca="false">IF(COUNT($D102:$E102)=0,"",IF(AND(MIN($D102:$E102)&lt;=M$9+6,MAX($D102:$E102)&gt;=M$9),1,""))</f>
        <v>1</v>
      </c>
      <c r="N102" s="21" t="n">
        <f aca="false">IF(COUNT($D102:$E102)=0,"",IF(AND(MIN($D102:$E102)&lt;=N$9+6,MAX($D102:$E102)&gt;=N$9),1,""))</f>
        <v>1</v>
      </c>
      <c r="O102" s="21" t="str">
        <f aca="false">IF(COUNT($D102:$E102)=0,"",IF(AND(MIN($D102:$E102)&lt;=O$9+6,MAX($D102:$E102)&gt;=O$9),1,""))</f>
        <v/>
      </c>
      <c r="P102" s="21" t="str">
        <f aca="false">IF(COUNT($D102:$E102)=0,"",IF(AND(MIN($D102:$E102)&lt;=P$9+6,MAX($D102:$E102)&gt;=P$9),1,""))</f>
        <v/>
      </c>
      <c r="Q102" s="22" t="s">
        <v>352</v>
      </c>
      <c r="R102" s="19" t="s">
        <v>353</v>
      </c>
    </row>
    <row r="103" customFormat="false" ht="19.5" hidden="false" customHeight="true" outlineLevel="0" collapsed="false">
      <c r="A103" s="17" t="s">
        <v>354</v>
      </c>
      <c r="B103" s="17"/>
      <c r="C103" s="17"/>
      <c r="D103" s="17"/>
      <c r="E103" s="17"/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</row>
    <row r="104" customFormat="false" ht="30" hidden="false" customHeight="true" outlineLevel="0" collapsed="false">
      <c r="A104" s="18" t="s">
        <v>355</v>
      </c>
      <c r="B104" s="19" t="s">
        <v>356</v>
      </c>
      <c r="C104" s="19" t="s">
        <v>279</v>
      </c>
      <c r="D104" s="20"/>
      <c r="E104" s="20" t="n">
        <v>46339</v>
      </c>
      <c r="F104" s="18" t="s">
        <v>15</v>
      </c>
      <c r="G104" s="18" t="s">
        <v>47</v>
      </c>
      <c r="H104" s="21" t="str">
        <f aca="false">IF(COUNT($D104:$E104)=0,"",IF(AND(MIN($D104:$E104)&lt;=H$9+6,MAX($D104:$E104)&gt;=H$9),1,""))</f>
        <v/>
      </c>
      <c r="I104" s="21" t="str">
        <f aca="false">IF(COUNT($D104:$E104)=0,"",IF(AND(MIN($D104:$E104)&lt;=I$9+6,MAX($D104:$E104)&gt;=I$9),1,""))</f>
        <v/>
      </c>
      <c r="J104" s="21" t="n">
        <f aca="false">IF(COUNT($D104:$E104)=0,"",IF(AND(MIN($D104:$E104)&lt;=J$9+6,MAX($D104:$E104)&gt;=J$9),1,""))</f>
        <v>1</v>
      </c>
      <c r="K104" s="21" t="str">
        <f aca="false">IF(COUNT($D104:$E104)=0,"",IF(AND(MIN($D104:$E104)&lt;=K$9+6,MAX($D104:$E104)&gt;=K$9),1,""))</f>
        <v/>
      </c>
      <c r="L104" s="21" t="str">
        <f aca="false">IF(COUNT($D104:$E104)=0,"",IF(AND(MIN($D104:$E104)&lt;=L$9+6,MAX($D104:$E104)&gt;=L$9),1,""))</f>
        <v/>
      </c>
      <c r="M104" s="21" t="str">
        <f aca="false">IF(COUNT($D104:$E104)=0,"",IF(AND(MIN($D104:$E104)&lt;=M$9+6,MAX($D104:$E104)&gt;=M$9),1,""))</f>
        <v/>
      </c>
      <c r="N104" s="21" t="str">
        <f aca="false">IF(COUNT($D104:$E104)=0,"",IF(AND(MIN($D104:$E104)&lt;=N$9+6,MAX($D104:$E104)&gt;=N$9),1,""))</f>
        <v/>
      </c>
      <c r="O104" s="21" t="str">
        <f aca="false">IF(COUNT($D104:$E104)=0,"",IF(AND(MIN($D104:$E104)&lt;=O$9+6,MAX($D104:$E104)&gt;=O$9),1,""))</f>
        <v/>
      </c>
      <c r="P104" s="21" t="str">
        <f aca="false">IF(COUNT($D104:$E104)=0,"",IF(AND(MIN($D104:$E104)&lt;=P$9+6,MAX($D104:$E104)&gt;=P$9),1,""))</f>
        <v/>
      </c>
      <c r="Q104" s="22" t="s">
        <v>38</v>
      </c>
      <c r="R104" s="19" t="s">
        <v>357</v>
      </c>
    </row>
    <row r="105" customFormat="false" ht="30" hidden="false" customHeight="true" outlineLevel="0" collapsed="false">
      <c r="A105" s="18" t="s">
        <v>355</v>
      </c>
      <c r="B105" s="19" t="s">
        <v>358</v>
      </c>
      <c r="C105" s="19" t="s">
        <v>134</v>
      </c>
      <c r="D105" s="20" t="n">
        <v>46343</v>
      </c>
      <c r="E105" s="20" t="n">
        <v>46363</v>
      </c>
      <c r="F105" s="18" t="s">
        <v>15</v>
      </c>
      <c r="G105" s="18" t="s">
        <v>47</v>
      </c>
      <c r="H105" s="21" t="str">
        <f aca="false">IF(COUNT($D105:$E105)=0,"",IF(AND(MIN($D105:$E105)&lt;=H$9+6,MAX($D105:$E105)&gt;=H$9),1,""))</f>
        <v/>
      </c>
      <c r="I105" s="21" t="str">
        <f aca="false">IF(COUNT($D105:$E105)=0,"",IF(AND(MIN($D105:$E105)&lt;=I$9+6,MAX($D105:$E105)&gt;=I$9),1,""))</f>
        <v/>
      </c>
      <c r="J105" s="21" t="str">
        <f aca="false">IF(COUNT($D105:$E105)=0,"",IF(AND(MIN($D105:$E105)&lt;=J$9+6,MAX($D105:$E105)&gt;=J$9),1,""))</f>
        <v/>
      </c>
      <c r="K105" s="21" t="n">
        <f aca="false">IF(COUNT($D105:$E105)=0,"",IF(AND(MIN($D105:$E105)&lt;=K$9+6,MAX($D105:$E105)&gt;=K$9),1,""))</f>
        <v>1</v>
      </c>
      <c r="L105" s="21" t="n">
        <f aca="false">IF(COUNT($D105:$E105)=0,"",IF(AND(MIN($D105:$E105)&lt;=L$9+6,MAX($D105:$E105)&gt;=L$9),1,""))</f>
        <v>1</v>
      </c>
      <c r="M105" s="21" t="n">
        <f aca="false">IF(COUNT($D105:$E105)=0,"",IF(AND(MIN($D105:$E105)&lt;=M$9+6,MAX($D105:$E105)&gt;=M$9),1,""))</f>
        <v>1</v>
      </c>
      <c r="N105" s="21" t="n">
        <f aca="false">IF(COUNT($D105:$E105)=0,"",IF(AND(MIN($D105:$E105)&lt;=N$9+6,MAX($D105:$E105)&gt;=N$9),1,""))</f>
        <v>1</v>
      </c>
      <c r="O105" s="21" t="str">
        <f aca="false">IF(COUNT($D105:$E105)=0,"",IF(AND(MIN($D105:$E105)&lt;=O$9+6,MAX($D105:$E105)&gt;=O$9),1,""))</f>
        <v/>
      </c>
      <c r="P105" s="21" t="str">
        <f aca="false">IF(COUNT($D105:$E105)=0,"",IF(AND(MIN($D105:$E105)&lt;=P$9+6,MAX($D105:$E105)&gt;=P$9),1,""))</f>
        <v/>
      </c>
      <c r="Q105" s="22" t="s">
        <v>359</v>
      </c>
      <c r="R105" s="19" t="s">
        <v>360</v>
      </c>
    </row>
    <row r="106" customFormat="false" ht="30" hidden="false" customHeight="true" outlineLevel="0" collapsed="false">
      <c r="A106" s="18" t="s">
        <v>361</v>
      </c>
      <c r="B106" s="19" t="s">
        <v>362</v>
      </c>
      <c r="C106" s="19" t="s">
        <v>42</v>
      </c>
      <c r="D106" s="20"/>
      <c r="E106" s="20" t="n">
        <v>46353</v>
      </c>
      <c r="F106" s="18" t="s">
        <v>15</v>
      </c>
      <c r="G106" s="18" t="s">
        <v>42</v>
      </c>
      <c r="H106" s="21" t="str">
        <f aca="false">IF(COUNT($D106:$E106)=0,"",IF(AND(MIN($D106:$E106)&lt;=H$9+6,MAX($D106:$E106)&gt;=H$9),1,""))</f>
        <v/>
      </c>
      <c r="I106" s="21" t="str">
        <f aca="false">IF(COUNT($D106:$E106)=0,"",IF(AND(MIN($D106:$E106)&lt;=I$9+6,MAX($D106:$E106)&gt;=I$9),1,""))</f>
        <v/>
      </c>
      <c r="J106" s="21" t="str">
        <f aca="false">IF(COUNT($D106:$E106)=0,"",IF(AND(MIN($D106:$E106)&lt;=J$9+6,MAX($D106:$E106)&gt;=J$9),1,""))</f>
        <v/>
      </c>
      <c r="K106" s="21" t="str">
        <f aca="false">IF(COUNT($D106:$E106)=0,"",IF(AND(MIN($D106:$E106)&lt;=K$9+6,MAX($D106:$E106)&gt;=K$9),1,""))</f>
        <v/>
      </c>
      <c r="L106" s="21" t="n">
        <f aca="false">IF(COUNT($D106:$E106)=0,"",IF(AND(MIN($D106:$E106)&lt;=L$9+6,MAX($D106:$E106)&gt;=L$9),1,""))</f>
        <v>1</v>
      </c>
      <c r="M106" s="21" t="str">
        <f aca="false">IF(COUNT($D106:$E106)=0,"",IF(AND(MIN($D106:$E106)&lt;=M$9+6,MAX($D106:$E106)&gt;=M$9),1,""))</f>
        <v/>
      </c>
      <c r="N106" s="21" t="str">
        <f aca="false">IF(COUNT($D106:$E106)=0,"",IF(AND(MIN($D106:$E106)&lt;=N$9+6,MAX($D106:$E106)&gt;=N$9),1,""))</f>
        <v/>
      </c>
      <c r="O106" s="21" t="str">
        <f aca="false">IF(COUNT($D106:$E106)=0,"",IF(AND(MIN($D106:$E106)&lt;=O$9+6,MAX($D106:$E106)&gt;=O$9),1,""))</f>
        <v/>
      </c>
      <c r="P106" s="21" t="str">
        <f aca="false">IF(COUNT($D106:$E106)=0,"",IF(AND(MIN($D106:$E106)&lt;=P$9+6,MAX($D106:$E106)&gt;=P$9),1,""))</f>
        <v/>
      </c>
      <c r="Q106" s="22" t="s">
        <v>363</v>
      </c>
      <c r="R106" s="19"/>
    </row>
    <row r="107" customFormat="false" ht="30" hidden="false" customHeight="true" outlineLevel="0" collapsed="false">
      <c r="A107" s="18" t="s">
        <v>361</v>
      </c>
      <c r="B107" s="19" t="s">
        <v>364</v>
      </c>
      <c r="C107" s="19" t="s">
        <v>355</v>
      </c>
      <c r="D107" s="20"/>
      <c r="E107" s="20" t="n">
        <v>46353</v>
      </c>
      <c r="F107" s="18" t="s">
        <v>15</v>
      </c>
      <c r="G107" s="18" t="s">
        <v>42</v>
      </c>
      <c r="H107" s="21" t="str">
        <f aca="false">IF(COUNT($D107:$E107)=0,"",IF(AND(MIN($D107:$E107)&lt;=H$9+6,MAX($D107:$E107)&gt;=H$9),1,""))</f>
        <v/>
      </c>
      <c r="I107" s="21" t="str">
        <f aca="false">IF(COUNT($D107:$E107)=0,"",IF(AND(MIN($D107:$E107)&lt;=I$9+6,MAX($D107:$E107)&gt;=I$9),1,""))</f>
        <v/>
      </c>
      <c r="J107" s="21" t="str">
        <f aca="false">IF(COUNT($D107:$E107)=0,"",IF(AND(MIN($D107:$E107)&lt;=J$9+6,MAX($D107:$E107)&gt;=J$9),1,""))</f>
        <v/>
      </c>
      <c r="K107" s="21" t="str">
        <f aca="false">IF(COUNT($D107:$E107)=0,"",IF(AND(MIN($D107:$E107)&lt;=K$9+6,MAX($D107:$E107)&gt;=K$9),1,""))</f>
        <v/>
      </c>
      <c r="L107" s="21" t="n">
        <f aca="false">IF(COUNT($D107:$E107)=0,"",IF(AND(MIN($D107:$E107)&lt;=L$9+6,MAX($D107:$E107)&gt;=L$9),1,""))</f>
        <v>1</v>
      </c>
      <c r="M107" s="21" t="str">
        <f aca="false">IF(COUNT($D107:$E107)=0,"",IF(AND(MIN($D107:$E107)&lt;=M$9+6,MAX($D107:$E107)&gt;=M$9),1,""))</f>
        <v/>
      </c>
      <c r="N107" s="21" t="str">
        <f aca="false">IF(COUNT($D107:$E107)=0,"",IF(AND(MIN($D107:$E107)&lt;=N$9+6,MAX($D107:$E107)&gt;=N$9),1,""))</f>
        <v/>
      </c>
      <c r="O107" s="21" t="str">
        <f aca="false">IF(COUNT($D107:$E107)=0,"",IF(AND(MIN($D107:$E107)&lt;=O$9+6,MAX($D107:$E107)&gt;=O$9),1,""))</f>
        <v/>
      </c>
      <c r="P107" s="21" t="str">
        <f aca="false">IF(COUNT($D107:$E107)=0,"",IF(AND(MIN($D107:$E107)&lt;=P$9+6,MAX($D107:$E107)&gt;=P$9),1,""))</f>
        <v/>
      </c>
      <c r="Q107" s="22" t="s">
        <v>365</v>
      </c>
      <c r="R107" s="19" t="s">
        <v>366</v>
      </c>
    </row>
    <row r="108" customFormat="false" ht="30" hidden="false" customHeight="true" outlineLevel="0" collapsed="false">
      <c r="A108" s="18" t="s">
        <v>361</v>
      </c>
      <c r="B108" s="19" t="s">
        <v>367</v>
      </c>
      <c r="C108" s="19" t="s">
        <v>368</v>
      </c>
      <c r="D108" s="20" t="n">
        <v>46357</v>
      </c>
      <c r="E108" s="20" t="n">
        <v>46360</v>
      </c>
      <c r="F108" s="18" t="s">
        <v>15</v>
      </c>
      <c r="G108" s="18" t="s">
        <v>47</v>
      </c>
      <c r="H108" s="21" t="str">
        <f aca="false">IF(COUNT($D108:$E108)=0,"",IF(AND(MIN($D108:$E108)&lt;=H$9+6,MAX($D108:$E108)&gt;=H$9),1,""))</f>
        <v/>
      </c>
      <c r="I108" s="21" t="str">
        <f aca="false">IF(COUNT($D108:$E108)=0,"",IF(AND(MIN($D108:$E108)&lt;=I$9+6,MAX($D108:$E108)&gt;=I$9),1,""))</f>
        <v/>
      </c>
      <c r="J108" s="21" t="str">
        <f aca="false">IF(COUNT($D108:$E108)=0,"",IF(AND(MIN($D108:$E108)&lt;=J$9+6,MAX($D108:$E108)&gt;=J$9),1,""))</f>
        <v/>
      </c>
      <c r="K108" s="21" t="str">
        <f aca="false">IF(COUNT($D108:$E108)=0,"",IF(AND(MIN($D108:$E108)&lt;=K$9+6,MAX($D108:$E108)&gt;=K$9),1,""))</f>
        <v/>
      </c>
      <c r="L108" s="21" t="str">
        <f aca="false">IF(COUNT($D108:$E108)=0,"",IF(AND(MIN($D108:$E108)&lt;=L$9+6,MAX($D108:$E108)&gt;=L$9),1,""))</f>
        <v/>
      </c>
      <c r="M108" s="21" t="n">
        <f aca="false">IF(COUNT($D108:$E108)=0,"",IF(AND(MIN($D108:$E108)&lt;=M$9+6,MAX($D108:$E108)&gt;=M$9),1,""))</f>
        <v>1</v>
      </c>
      <c r="N108" s="21" t="str">
        <f aca="false">IF(COUNT($D108:$E108)=0,"",IF(AND(MIN($D108:$E108)&lt;=N$9+6,MAX($D108:$E108)&gt;=N$9),1,""))</f>
        <v/>
      </c>
      <c r="O108" s="21" t="str">
        <f aca="false">IF(COUNT($D108:$E108)=0,"",IF(AND(MIN($D108:$E108)&lt;=O$9+6,MAX($D108:$E108)&gt;=O$9),1,""))</f>
        <v/>
      </c>
      <c r="P108" s="21" t="str">
        <f aca="false">IF(COUNT($D108:$E108)=0,"",IF(AND(MIN($D108:$E108)&lt;=P$9+6,MAX($D108:$E108)&gt;=P$9),1,""))</f>
        <v/>
      </c>
      <c r="Q108" s="22" t="s">
        <v>369</v>
      </c>
      <c r="R108" s="19" t="s">
        <v>370</v>
      </c>
    </row>
    <row r="109" customFormat="false" ht="30" hidden="false" customHeight="true" outlineLevel="0" collapsed="false">
      <c r="A109" s="18" t="s">
        <v>361</v>
      </c>
      <c r="B109" s="19" t="s">
        <v>371</v>
      </c>
      <c r="C109" s="19" t="s">
        <v>372</v>
      </c>
      <c r="D109" s="20" t="n">
        <v>46364</v>
      </c>
      <c r="E109" s="20" t="n">
        <v>46367</v>
      </c>
      <c r="F109" s="18" t="s">
        <v>15</v>
      </c>
      <c r="G109" s="18" t="s">
        <v>47</v>
      </c>
      <c r="H109" s="21" t="str">
        <f aca="false">IF(COUNT($D109:$E109)=0,"",IF(AND(MIN($D109:$E109)&lt;=H$9+6,MAX($D109:$E109)&gt;=H$9),1,""))</f>
        <v/>
      </c>
      <c r="I109" s="21" t="str">
        <f aca="false">IF(COUNT($D109:$E109)=0,"",IF(AND(MIN($D109:$E109)&lt;=I$9+6,MAX($D109:$E109)&gt;=I$9),1,""))</f>
        <v/>
      </c>
      <c r="J109" s="21" t="str">
        <f aca="false">IF(COUNT($D109:$E109)=0,"",IF(AND(MIN($D109:$E109)&lt;=J$9+6,MAX($D109:$E109)&gt;=J$9),1,""))</f>
        <v/>
      </c>
      <c r="K109" s="21" t="str">
        <f aca="false">IF(COUNT($D109:$E109)=0,"",IF(AND(MIN($D109:$E109)&lt;=K$9+6,MAX($D109:$E109)&gt;=K$9),1,""))</f>
        <v/>
      </c>
      <c r="L109" s="21" t="str">
        <f aca="false">IF(COUNT($D109:$E109)=0,"",IF(AND(MIN($D109:$E109)&lt;=L$9+6,MAX($D109:$E109)&gt;=L$9),1,""))</f>
        <v/>
      </c>
      <c r="M109" s="21" t="str">
        <f aca="false">IF(COUNT($D109:$E109)=0,"",IF(AND(MIN($D109:$E109)&lt;=M$9+6,MAX($D109:$E109)&gt;=M$9),1,""))</f>
        <v/>
      </c>
      <c r="N109" s="21" t="n">
        <f aca="false">IF(COUNT($D109:$E109)=0,"",IF(AND(MIN($D109:$E109)&lt;=N$9+6,MAX($D109:$E109)&gt;=N$9),1,""))</f>
        <v>1</v>
      </c>
      <c r="O109" s="21" t="str">
        <f aca="false">IF(COUNT($D109:$E109)=0,"",IF(AND(MIN($D109:$E109)&lt;=O$9+6,MAX($D109:$E109)&gt;=O$9),1,""))</f>
        <v/>
      </c>
      <c r="P109" s="21" t="str">
        <f aca="false">IF(COUNT($D109:$E109)=0,"",IF(AND(MIN($D109:$E109)&lt;=P$9+6,MAX($D109:$E109)&gt;=P$9),1,""))</f>
        <v/>
      </c>
      <c r="Q109" s="22" t="s">
        <v>373</v>
      </c>
      <c r="R109" s="19"/>
    </row>
    <row r="110" customFormat="false" ht="30" hidden="false" customHeight="true" outlineLevel="0" collapsed="false">
      <c r="A110" s="18" t="s">
        <v>361</v>
      </c>
      <c r="B110" s="19" t="s">
        <v>374</v>
      </c>
      <c r="C110" s="19" t="s">
        <v>375</v>
      </c>
      <c r="D110" s="20" t="n">
        <v>46371</v>
      </c>
      <c r="E110" s="20" t="n">
        <v>46381</v>
      </c>
      <c r="F110" s="18" t="s">
        <v>15</v>
      </c>
      <c r="G110" s="18" t="s">
        <v>66</v>
      </c>
      <c r="H110" s="21" t="str">
        <f aca="false">IF(COUNT($D110:$E110)=0,"",IF(AND(MIN($D110:$E110)&lt;=H$9+6,MAX($D110:$E110)&gt;=H$9),1,""))</f>
        <v/>
      </c>
      <c r="I110" s="21" t="str">
        <f aca="false">IF(COUNT($D110:$E110)=0,"",IF(AND(MIN($D110:$E110)&lt;=I$9+6,MAX($D110:$E110)&gt;=I$9),1,""))</f>
        <v/>
      </c>
      <c r="J110" s="21" t="str">
        <f aca="false">IF(COUNT($D110:$E110)=0,"",IF(AND(MIN($D110:$E110)&lt;=J$9+6,MAX($D110:$E110)&gt;=J$9),1,""))</f>
        <v/>
      </c>
      <c r="K110" s="21" t="str">
        <f aca="false">IF(COUNT($D110:$E110)=0,"",IF(AND(MIN($D110:$E110)&lt;=K$9+6,MAX($D110:$E110)&gt;=K$9),1,""))</f>
        <v/>
      </c>
      <c r="L110" s="21" t="str">
        <f aca="false">IF(COUNT($D110:$E110)=0,"",IF(AND(MIN($D110:$E110)&lt;=L$9+6,MAX($D110:$E110)&gt;=L$9),1,""))</f>
        <v/>
      </c>
      <c r="M110" s="21" t="str">
        <f aca="false">IF(COUNT($D110:$E110)=0,"",IF(AND(MIN($D110:$E110)&lt;=M$9+6,MAX($D110:$E110)&gt;=M$9),1,""))</f>
        <v/>
      </c>
      <c r="N110" s="21" t="str">
        <f aca="false">IF(COUNT($D110:$E110)=0,"",IF(AND(MIN($D110:$E110)&lt;=N$9+6,MAX($D110:$E110)&gt;=N$9),1,""))</f>
        <v/>
      </c>
      <c r="O110" s="21" t="n">
        <f aca="false">IF(COUNT($D110:$E110)=0,"",IF(AND(MIN($D110:$E110)&lt;=O$9+6,MAX($D110:$E110)&gt;=O$9),1,""))</f>
        <v>1</v>
      </c>
      <c r="P110" s="21" t="n">
        <f aca="false">IF(COUNT($D110:$E110)=0,"",IF(AND(MIN($D110:$E110)&lt;=P$9+6,MAX($D110:$E110)&gt;=P$9),1,""))</f>
        <v>1</v>
      </c>
      <c r="Q110" s="22" t="s">
        <v>38</v>
      </c>
      <c r="R110" s="19" t="s">
        <v>376</v>
      </c>
    </row>
  </sheetData>
  <autoFilter ref="A9:R71"/>
  <mergeCells count="6">
    <mergeCell ref="A10:R10"/>
    <mergeCell ref="A20:R20"/>
    <mergeCell ref="A30:R30"/>
    <mergeCell ref="A53:R53"/>
    <mergeCell ref="A77:R77"/>
    <mergeCell ref="A103:R103"/>
  </mergeCells>
  <conditionalFormatting sqref="H10:P110">
    <cfRule type="expression" priority="2" aboveAverage="0" equalAverage="0" bottom="0" percent="0" rank="0" text="" dxfId="21">
      <formula>AND(H10=1,$F10="마일스톤")</formula>
    </cfRule>
    <cfRule type="expression" priority="3" aboveAverage="0" equalAverage="0" bottom="0" percent="0" rank="0" text="" dxfId="22">
      <formula>AND(H10=1,$F10="확정")</formula>
    </cfRule>
    <cfRule type="expression" priority="4" aboveAverage="0" equalAverage="0" bottom="0" percent="0" rank="0" text="" dxfId="23">
      <formula>AND(H10=1,$F10="제안")</formula>
    </cfRule>
    <cfRule type="expression" priority="5" aboveAverage="0" equalAverage="0" bottom="0" percent="0" rank="0" text="" dxfId="24">
      <formula>AND(H10=1,$F10="외부")</formula>
    </cfRule>
  </conditionalFormatting>
  <conditionalFormatting sqref="G10:G110">
    <cfRule type="expression" priority="6" aboveAverage="0" equalAverage="0" bottom="0" percent="0" rank="0" text="" dxfId="25">
      <formula>$G10="완료"</formula>
    </cfRule>
    <cfRule type="expression" priority="7" aboveAverage="0" equalAverage="0" bottom="0" percent="0" rank="0" text="" dxfId="26">
      <formula>$G10="진행 중"</formula>
    </cfRule>
    <cfRule type="expression" priority="8" aboveAverage="0" equalAverage="0" bottom="0" percent="0" rank="0" text="" dxfId="27">
      <formula>$G10="확인 필요"</formula>
    </cfRule>
    <cfRule type="expression" priority="9" aboveAverage="0" equalAverage="0" bottom="0" percent="0" rank="0" text="" dxfId="28">
      <formula>$G10="지연"</formula>
    </cfRule>
    <cfRule type="expression" priority="10" aboveAverage="0" equalAverage="0" bottom="0" percent="0" rank="0" text="" dxfId="29">
      <formula>$G10="대기"</formula>
    </cfRule>
  </conditionalFormatting>
  <conditionalFormatting sqref="C10:C110">
    <cfRule type="expression" priority="11" aboveAverage="0" equalAverage="0" bottom="0" percent="0" rank="0" text="" dxfId="30">
      <formula>$C10="확인 필요"</formula>
    </cfRule>
  </conditionalFormatting>
  <conditionalFormatting sqref="H9:P9">
    <cfRule type="expression" priority="12" aboveAverage="0" equalAverage="0" bottom="0" percent="0" rank="0" text="" dxfId="21">
      <formula>AND($C$5&gt;=H$9,$C$5&lt;H$9+7)</formula>
    </cfRule>
    <cfRule type="expression" priority="13" aboveAverage="0" equalAverage="0" bottom="0" percent="0" rank="0" text="" dxfId="31">
      <formula>AND($C$7&gt;=H$9,$C$7&lt;H$9+7)</formula>
    </cfRule>
    <cfRule type="expression" priority="14" aboveAverage="0" equalAverage="0" bottom="0" percent="0" rank="0" text="" dxfId="32">
      <formula>AND($C$4&gt;=H$9,$C$4&lt;H$9+7)</formula>
    </cfRule>
  </conditionalFormatting>
  <dataValidations count="2">
    <dataValidation allowBlank="true" errorStyle="stop" operator="between" showDropDown="false" showErrorMessage="false" showInputMessage="false" sqref="F10:F110" type="list">
      <formula1>"확정,제안,외부,마일스톤"</formula1>
      <formula2>0</formula2>
    </dataValidation>
    <dataValidation allowBlank="true" errorStyle="stop" operator="between" showDropDown="false" showErrorMessage="false" showInputMessage="false" sqref="G10:G110" type="list">
      <formula1>"완료,진행 중,예정,확인 필요,지연,대기"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B22" activeCellId="0" sqref="B22"/>
    </sheetView>
  </sheetViews>
  <sheetFormatPr defaultColWidth="8.714843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40"/>
    <col collapsed="false" customWidth="true" hidden="false" outlineLevel="0" max="3" min="3" style="0" width="18"/>
    <col collapsed="false" customWidth="true" hidden="false" outlineLevel="0" max="4" min="4" style="0" width="60"/>
    <col collapsed="false" customWidth="true" hidden="false" outlineLevel="0" max="5" min="5" style="0" width="11"/>
    <col collapsed="false" customWidth="true" hidden="false" outlineLevel="0" max="6" min="6" style="0" width="26"/>
  </cols>
  <sheetData>
    <row r="1" customFormat="false" ht="20.25" hidden="false" customHeight="true" outlineLevel="0" collapsed="false">
      <c r="A1" s="24" t="s">
        <v>377</v>
      </c>
    </row>
    <row r="2" customFormat="false" ht="15" hidden="false" customHeight="false" outlineLevel="0" collapsed="false">
      <c r="A2" s="2" t="s">
        <v>378</v>
      </c>
    </row>
    <row r="4" customFormat="false" ht="15" hidden="false" customHeight="false" outlineLevel="0" collapsed="false">
      <c r="A4" s="15" t="s">
        <v>379</v>
      </c>
      <c r="B4" s="15" t="s">
        <v>380</v>
      </c>
      <c r="C4" s="15" t="s">
        <v>22</v>
      </c>
      <c r="D4" s="15" t="s">
        <v>381</v>
      </c>
      <c r="E4" s="15" t="s">
        <v>26</v>
      </c>
      <c r="F4" s="15" t="s">
        <v>382</v>
      </c>
    </row>
    <row r="5" customFormat="false" ht="33.75" hidden="false" customHeight="true" outlineLevel="0" collapsed="false">
      <c r="A5" s="25" t="n">
        <v>46322</v>
      </c>
      <c r="B5" s="19" t="s">
        <v>383</v>
      </c>
      <c r="C5" s="19" t="s">
        <v>71</v>
      </c>
      <c r="D5" s="19" t="s">
        <v>384</v>
      </c>
      <c r="E5" s="18" t="s">
        <v>47</v>
      </c>
      <c r="F5" s="22" t="s">
        <v>72</v>
      </c>
    </row>
    <row r="6" customFormat="false" ht="33.75" hidden="false" customHeight="true" outlineLevel="0" collapsed="false">
      <c r="A6" s="25" t="n">
        <v>46322</v>
      </c>
      <c r="B6" s="19" t="s">
        <v>385</v>
      </c>
      <c r="C6" s="19" t="s">
        <v>279</v>
      </c>
      <c r="D6" s="19" t="s">
        <v>386</v>
      </c>
      <c r="E6" s="18" t="s">
        <v>47</v>
      </c>
      <c r="F6" s="22" t="s">
        <v>387</v>
      </c>
    </row>
    <row r="7" customFormat="false" ht="33.75" hidden="false" customHeight="true" outlineLevel="0" collapsed="false">
      <c r="A7" s="25" t="n">
        <v>46323</v>
      </c>
      <c r="B7" s="19" t="s">
        <v>388</v>
      </c>
      <c r="C7" s="19" t="s">
        <v>279</v>
      </c>
      <c r="D7" s="19" t="s">
        <v>389</v>
      </c>
      <c r="E7" s="18" t="s">
        <v>47</v>
      </c>
      <c r="F7" s="22" t="s">
        <v>283</v>
      </c>
    </row>
    <row r="8" customFormat="false" ht="33.75" hidden="false" customHeight="true" outlineLevel="0" collapsed="false">
      <c r="A8" s="25" t="n">
        <v>46323</v>
      </c>
      <c r="B8" s="19" t="s">
        <v>281</v>
      </c>
      <c r="C8" s="19" t="s">
        <v>282</v>
      </c>
      <c r="D8" s="19" t="s">
        <v>390</v>
      </c>
      <c r="E8" s="18" t="s">
        <v>47</v>
      </c>
      <c r="F8" s="22" t="s">
        <v>287</v>
      </c>
    </row>
    <row r="9" customFormat="false" ht="33.75" hidden="false" customHeight="true" outlineLevel="0" collapsed="false">
      <c r="A9" s="25" t="n">
        <v>46323</v>
      </c>
      <c r="B9" s="19" t="s">
        <v>391</v>
      </c>
      <c r="C9" s="19" t="s">
        <v>134</v>
      </c>
      <c r="D9" s="19" t="s">
        <v>392</v>
      </c>
      <c r="E9" s="18" t="s">
        <v>47</v>
      </c>
      <c r="F9" s="22" t="s">
        <v>290</v>
      </c>
    </row>
    <row r="10" customFormat="false" ht="33.75" hidden="false" customHeight="true" outlineLevel="0" collapsed="false">
      <c r="A10" s="25" t="n">
        <v>46323</v>
      </c>
      <c r="B10" s="19" t="s">
        <v>393</v>
      </c>
      <c r="C10" s="19" t="s">
        <v>83</v>
      </c>
      <c r="D10" s="19" t="s">
        <v>394</v>
      </c>
      <c r="E10" s="18" t="s">
        <v>47</v>
      </c>
      <c r="F10" s="22" t="s">
        <v>38</v>
      </c>
    </row>
    <row r="11" customFormat="false" ht="33.75" hidden="false" customHeight="true" outlineLevel="0" collapsed="false">
      <c r="A11" s="25" t="n">
        <v>46323</v>
      </c>
      <c r="B11" s="19" t="s">
        <v>395</v>
      </c>
      <c r="C11" s="19" t="s">
        <v>83</v>
      </c>
      <c r="D11" s="19" t="s">
        <v>396</v>
      </c>
      <c r="E11" s="18" t="s">
        <v>47</v>
      </c>
      <c r="F11" s="22" t="s">
        <v>84</v>
      </c>
    </row>
    <row r="12" customFormat="false" ht="33.75" hidden="false" customHeight="true" outlineLevel="0" collapsed="false">
      <c r="A12" s="25" t="n">
        <v>46323</v>
      </c>
      <c r="B12" s="19" t="s">
        <v>397</v>
      </c>
      <c r="C12" s="19" t="s">
        <v>134</v>
      </c>
      <c r="D12" s="19" t="s">
        <v>398</v>
      </c>
      <c r="E12" s="18" t="s">
        <v>47</v>
      </c>
      <c r="F12" s="22" t="s">
        <v>306</v>
      </c>
    </row>
    <row r="13" customFormat="false" ht="33.75" hidden="false" customHeight="true" outlineLevel="0" collapsed="false">
      <c r="A13" s="25" t="n">
        <v>46323</v>
      </c>
      <c r="B13" s="19" t="s">
        <v>399</v>
      </c>
      <c r="C13" s="19" t="s">
        <v>134</v>
      </c>
      <c r="D13" s="19" t="s">
        <v>400</v>
      </c>
      <c r="E13" s="18" t="s">
        <v>47</v>
      </c>
      <c r="F13" s="22" t="s">
        <v>313</v>
      </c>
    </row>
    <row r="14" customFormat="false" ht="33.75" hidden="false" customHeight="true" outlineLevel="0" collapsed="false">
      <c r="A14" s="25" t="n">
        <v>46323</v>
      </c>
      <c r="B14" s="19" t="s">
        <v>401</v>
      </c>
      <c r="C14" s="19" t="s">
        <v>134</v>
      </c>
      <c r="D14" s="19" t="s">
        <v>402</v>
      </c>
      <c r="E14" s="18" t="s">
        <v>47</v>
      </c>
      <c r="F14" s="22" t="s">
        <v>152</v>
      </c>
    </row>
    <row r="15" customFormat="false" ht="33.75" hidden="false" customHeight="true" outlineLevel="0" collapsed="false">
      <c r="A15" s="25" t="n">
        <v>46324</v>
      </c>
      <c r="B15" s="19" t="s">
        <v>403</v>
      </c>
      <c r="C15" s="19" t="s">
        <v>159</v>
      </c>
      <c r="D15" s="19" t="s">
        <v>404</v>
      </c>
      <c r="E15" s="18" t="s">
        <v>47</v>
      </c>
      <c r="F15" s="22" t="s">
        <v>405</v>
      </c>
    </row>
    <row r="16" customFormat="false" ht="33.75" hidden="false" customHeight="true" outlineLevel="0" collapsed="false">
      <c r="A16" s="25" t="n">
        <v>46324</v>
      </c>
      <c r="B16" s="19" t="s">
        <v>406</v>
      </c>
      <c r="C16" s="19" t="s">
        <v>279</v>
      </c>
      <c r="D16" s="19" t="s">
        <v>407</v>
      </c>
      <c r="E16" s="18" t="s">
        <v>47</v>
      </c>
      <c r="F16" s="22" t="s">
        <v>38</v>
      </c>
    </row>
    <row r="17" customFormat="false" ht="33.75" hidden="false" customHeight="true" outlineLevel="0" collapsed="false">
      <c r="A17" s="25" t="n">
        <v>46325</v>
      </c>
      <c r="B17" s="19" t="s">
        <v>408</v>
      </c>
      <c r="C17" s="19" t="s">
        <v>108</v>
      </c>
      <c r="D17" s="19" t="s">
        <v>409</v>
      </c>
      <c r="E17" s="18" t="s">
        <v>91</v>
      </c>
      <c r="F17" s="22" t="s">
        <v>112</v>
      </c>
    </row>
    <row r="18" customFormat="false" ht="33.75" hidden="false" customHeight="true" outlineLevel="0" collapsed="false">
      <c r="A18" s="25" t="n">
        <v>46325</v>
      </c>
      <c r="B18" s="19" t="s">
        <v>410</v>
      </c>
      <c r="C18" s="19" t="s">
        <v>197</v>
      </c>
      <c r="D18" s="19" t="s">
        <v>411</v>
      </c>
      <c r="E18" s="18" t="s">
        <v>91</v>
      </c>
      <c r="F18" s="22" t="s">
        <v>198</v>
      </c>
    </row>
    <row r="19" customFormat="false" ht="33.75" hidden="false" customHeight="true" outlineLevel="0" collapsed="false">
      <c r="A19" s="25" t="n">
        <v>46325</v>
      </c>
      <c r="B19" s="19" t="s">
        <v>412</v>
      </c>
      <c r="C19" s="19" t="s">
        <v>187</v>
      </c>
      <c r="D19" s="19" t="s">
        <v>413</v>
      </c>
      <c r="E19" s="18" t="s">
        <v>42</v>
      </c>
      <c r="F19" s="22" t="s">
        <v>116</v>
      </c>
    </row>
    <row r="20" customFormat="false" ht="33.75" hidden="false" customHeight="true" outlineLevel="0" collapsed="false">
      <c r="A20" s="25" t="n">
        <v>46325</v>
      </c>
      <c r="B20" s="19" t="s">
        <v>414</v>
      </c>
      <c r="C20" s="19" t="s">
        <v>205</v>
      </c>
      <c r="D20" s="19" t="s">
        <v>415</v>
      </c>
      <c r="E20" s="18" t="s">
        <v>42</v>
      </c>
      <c r="F20" s="22" t="s">
        <v>206</v>
      </c>
    </row>
  </sheetData>
  <conditionalFormatting sqref="E5:E20">
    <cfRule type="expression" priority="2" aboveAverage="0" equalAverage="0" bottom="0" percent="0" rank="0" text="" dxfId="25">
      <formula>$E5="완료"</formula>
    </cfRule>
    <cfRule type="expression" priority="3" aboveAverage="0" equalAverage="0" bottom="0" percent="0" rank="0" text="" dxfId="26">
      <formula>$E5="진행 중"</formula>
    </cfRule>
    <cfRule type="expression" priority="4" aboveAverage="0" equalAverage="0" bottom="0" percent="0" rank="0" text="" dxfId="27">
      <formula>$E5="확인 필요"</formula>
    </cfRule>
    <cfRule type="expression" priority="5" aboveAverage="0" equalAverage="0" bottom="0" percent="0" rank="0" text="" dxfId="28">
      <formula>$E5="지연"</formula>
    </cfRule>
  </conditionalFormatting>
  <dataValidations count="1">
    <dataValidation allowBlank="true" errorStyle="stop" operator="between" showDropDown="false" showErrorMessage="false" showInputMessage="false" sqref="E5:E20" type="list">
      <formula1>"완료,진행 중,예정,확인 필요,지연,대기"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6"/>
  <sheetViews>
    <sheetView showFormulas="false" showGridLines="false" showRowColHeaders="true" showZeros="true" rightToLeft="false" tabSelected="false" showOutlineSymbols="true" defaultGridColor="true" view="normal" topLeftCell="A10" colorId="64" zoomScale="100" zoomScaleNormal="100" zoomScalePageLayoutView="100" workbookViewId="0">
      <selection pane="topLeft" activeCell="K15" activeCellId="0" sqref="K15"/>
    </sheetView>
  </sheetViews>
  <sheetFormatPr defaultColWidth="8.714843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3" min="2" style="0" width="40"/>
    <col collapsed="false" customWidth="true" hidden="false" outlineLevel="0" max="4" min="4" style="0" width="44"/>
    <col collapsed="false" customWidth="true" hidden="false" outlineLevel="0" max="5" min="5" style="0" width="18"/>
    <col collapsed="false" customWidth="true" hidden="false" outlineLevel="0" max="6" min="6" style="0" width="12"/>
    <col collapsed="false" customWidth="true" hidden="false" outlineLevel="0" max="7" min="7" style="0" width="9"/>
  </cols>
  <sheetData>
    <row r="1" customFormat="false" ht="20.25" hidden="false" customHeight="true" outlineLevel="0" collapsed="false">
      <c r="A1" s="24" t="s">
        <v>416</v>
      </c>
    </row>
    <row r="3" customFormat="false" ht="15.75" hidden="false" customHeight="true" outlineLevel="0" collapsed="false">
      <c r="A3" s="26" t="s">
        <v>417</v>
      </c>
    </row>
    <row r="4" customFormat="false" ht="15" hidden="false" customHeight="false" outlineLevel="0" collapsed="false">
      <c r="A4" s="27" t="s">
        <v>418</v>
      </c>
      <c r="B4" s="15" t="s">
        <v>417</v>
      </c>
      <c r="C4" s="15" t="s">
        <v>419</v>
      </c>
      <c r="D4" s="15" t="s">
        <v>420</v>
      </c>
      <c r="E4" s="15" t="s">
        <v>22</v>
      </c>
      <c r="F4" s="15" t="s">
        <v>421</v>
      </c>
      <c r="G4" s="15" t="s">
        <v>422</v>
      </c>
    </row>
    <row r="5" customFormat="false" ht="33.75" hidden="false" customHeight="true" outlineLevel="0" collapsed="false">
      <c r="A5" s="22" t="s">
        <v>423</v>
      </c>
      <c r="B5" s="19" t="s">
        <v>424</v>
      </c>
      <c r="C5" s="19" t="s">
        <v>425</v>
      </c>
      <c r="D5" s="19" t="s">
        <v>426</v>
      </c>
      <c r="E5" s="19" t="s">
        <v>279</v>
      </c>
      <c r="F5" s="25" t="n">
        <v>46329</v>
      </c>
      <c r="G5" s="19" t="s">
        <v>427</v>
      </c>
    </row>
    <row r="6" customFormat="false" ht="33.75" hidden="false" customHeight="true" outlineLevel="0" collapsed="false">
      <c r="A6" s="22" t="s">
        <v>428</v>
      </c>
      <c r="B6" s="19" t="s">
        <v>429</v>
      </c>
      <c r="C6" s="19" t="s">
        <v>430</v>
      </c>
      <c r="D6" s="19" t="s">
        <v>431</v>
      </c>
      <c r="E6" s="19" t="s">
        <v>193</v>
      </c>
      <c r="F6" s="25" t="n">
        <v>46323</v>
      </c>
      <c r="G6" s="19" t="s">
        <v>427</v>
      </c>
    </row>
    <row r="7" customFormat="false" ht="33.75" hidden="false" customHeight="true" outlineLevel="0" collapsed="false">
      <c r="A7" s="22" t="s">
        <v>432</v>
      </c>
      <c r="B7" s="19" t="s">
        <v>433</v>
      </c>
      <c r="C7" s="19" t="s">
        <v>434</v>
      </c>
      <c r="D7" s="19" t="s">
        <v>435</v>
      </c>
      <c r="E7" s="19" t="s">
        <v>41</v>
      </c>
      <c r="F7" s="25" t="n">
        <v>46339</v>
      </c>
      <c r="G7" s="19" t="s">
        <v>436</v>
      </c>
    </row>
    <row r="8" customFormat="false" ht="33.75" hidden="false" customHeight="true" outlineLevel="0" collapsed="false">
      <c r="A8" s="22" t="s">
        <v>437</v>
      </c>
      <c r="B8" s="19" t="s">
        <v>438</v>
      </c>
      <c r="C8" s="19" t="s">
        <v>439</v>
      </c>
      <c r="D8" s="19" t="s">
        <v>440</v>
      </c>
      <c r="E8" s="19" t="s">
        <v>159</v>
      </c>
      <c r="F8" s="25" t="n">
        <v>46324</v>
      </c>
      <c r="G8" s="19" t="s">
        <v>436</v>
      </c>
    </row>
    <row r="9" customFormat="false" ht="33.75" hidden="false" customHeight="true" outlineLevel="0" collapsed="false">
      <c r="A9" s="22" t="s">
        <v>441</v>
      </c>
      <c r="B9" s="19" t="s">
        <v>442</v>
      </c>
      <c r="C9" s="19" t="s">
        <v>443</v>
      </c>
      <c r="D9" s="19" t="s">
        <v>444</v>
      </c>
      <c r="E9" s="19" t="s">
        <v>269</v>
      </c>
      <c r="F9" s="25" t="n">
        <v>46353</v>
      </c>
      <c r="G9" s="19" t="s">
        <v>436</v>
      </c>
    </row>
    <row r="10" customFormat="false" ht="33.75" hidden="false" customHeight="true" outlineLevel="0" collapsed="false">
      <c r="A10" s="22" t="s">
        <v>445</v>
      </c>
      <c r="B10" s="19" t="s">
        <v>446</v>
      </c>
      <c r="C10" s="19" t="s">
        <v>447</v>
      </c>
      <c r="D10" s="19" t="s">
        <v>448</v>
      </c>
      <c r="E10" s="19" t="s">
        <v>375</v>
      </c>
      <c r="F10" s="25" t="n">
        <v>46371</v>
      </c>
      <c r="G10" s="19" t="s">
        <v>449</v>
      </c>
    </row>
    <row r="11" customFormat="false" ht="33.75" hidden="false" customHeight="true" outlineLevel="0" collapsed="false">
      <c r="A11" s="22" t="s">
        <v>450</v>
      </c>
      <c r="B11" s="19" t="s">
        <v>451</v>
      </c>
      <c r="C11" s="19" t="s">
        <v>452</v>
      </c>
      <c r="D11" s="19" t="s">
        <v>453</v>
      </c>
      <c r="E11" s="19" t="s">
        <v>134</v>
      </c>
      <c r="F11" s="25" t="n">
        <v>46332</v>
      </c>
      <c r="G11" s="19" t="s">
        <v>427</v>
      </c>
    </row>
    <row r="12" customFormat="false" ht="33.75" hidden="false" customHeight="true" outlineLevel="0" collapsed="false">
      <c r="A12" s="22" t="s">
        <v>454</v>
      </c>
      <c r="B12" s="19" t="s">
        <v>455</v>
      </c>
      <c r="C12" s="19" t="s">
        <v>456</v>
      </c>
      <c r="D12" s="19" t="s">
        <v>457</v>
      </c>
      <c r="E12" s="19" t="s">
        <v>239</v>
      </c>
      <c r="F12" s="25" t="n">
        <v>46324</v>
      </c>
      <c r="G12" s="19" t="s">
        <v>427</v>
      </c>
    </row>
    <row r="13" customFormat="false" ht="33.75" hidden="false" customHeight="true" outlineLevel="0" collapsed="false">
      <c r="A13" s="22" t="s">
        <v>458</v>
      </c>
      <c r="B13" s="19" t="s">
        <v>459</v>
      </c>
      <c r="C13" s="19" t="s">
        <v>460</v>
      </c>
      <c r="D13" s="19" t="s">
        <v>461</v>
      </c>
      <c r="E13" s="19" t="s">
        <v>41</v>
      </c>
      <c r="F13" s="25" t="n">
        <v>46323</v>
      </c>
      <c r="G13" s="19" t="s">
        <v>427</v>
      </c>
    </row>
    <row r="15" customFormat="false" ht="15.75" hidden="false" customHeight="true" outlineLevel="0" collapsed="false">
      <c r="A15" s="26" t="s">
        <v>462</v>
      </c>
    </row>
    <row r="16" customFormat="false" ht="15" hidden="false" customHeight="false" outlineLevel="0" collapsed="false">
      <c r="A16" s="27" t="s">
        <v>418</v>
      </c>
      <c r="B16" s="15" t="s">
        <v>463</v>
      </c>
      <c r="C16" s="15" t="s">
        <v>464</v>
      </c>
      <c r="D16" s="15" t="s">
        <v>465</v>
      </c>
      <c r="E16" s="15" t="s">
        <v>466</v>
      </c>
    </row>
    <row r="17" customFormat="false" ht="33.75" hidden="false" customHeight="true" outlineLevel="0" collapsed="false">
      <c r="A17" s="22" t="s">
        <v>467</v>
      </c>
      <c r="B17" s="22" t="s">
        <v>468</v>
      </c>
      <c r="C17" s="19" t="s">
        <v>41</v>
      </c>
      <c r="D17" s="25" t="n">
        <v>46339</v>
      </c>
      <c r="E17" s="22" t="s">
        <v>469</v>
      </c>
    </row>
    <row r="18" customFormat="false" ht="33.75" hidden="false" customHeight="true" outlineLevel="0" collapsed="false">
      <c r="A18" s="22" t="s">
        <v>470</v>
      </c>
      <c r="B18" s="22" t="s">
        <v>471</v>
      </c>
      <c r="C18" s="19" t="s">
        <v>286</v>
      </c>
      <c r="D18" s="25" t="n">
        <v>46329</v>
      </c>
      <c r="E18" s="23" t="s">
        <v>472</v>
      </c>
    </row>
    <row r="19" customFormat="false" ht="33.75" hidden="false" customHeight="true" outlineLevel="0" collapsed="false">
      <c r="A19" s="22" t="s">
        <v>473</v>
      </c>
      <c r="B19" s="23" t="s">
        <v>474</v>
      </c>
      <c r="C19" s="19" t="s">
        <v>225</v>
      </c>
      <c r="D19" s="25" t="n">
        <v>46323</v>
      </c>
      <c r="E19" s="23" t="s">
        <v>192</v>
      </c>
    </row>
    <row r="20" customFormat="false" ht="33.75" hidden="false" customHeight="true" outlineLevel="0" collapsed="false">
      <c r="A20" s="22" t="s">
        <v>475</v>
      </c>
      <c r="B20" s="23" t="s">
        <v>476</v>
      </c>
      <c r="C20" s="19" t="s">
        <v>159</v>
      </c>
      <c r="D20" s="25" t="n">
        <v>46353</v>
      </c>
      <c r="E20" s="22" t="s">
        <v>477</v>
      </c>
    </row>
    <row r="21" customFormat="false" ht="33.75" hidden="false" customHeight="true" outlineLevel="0" collapsed="false">
      <c r="A21" s="22" t="s">
        <v>478</v>
      </c>
      <c r="B21" s="23" t="s">
        <v>479</v>
      </c>
      <c r="C21" s="19" t="s">
        <v>269</v>
      </c>
      <c r="D21" s="25" t="n">
        <v>46353</v>
      </c>
      <c r="E21" s="23" t="s">
        <v>480</v>
      </c>
    </row>
    <row r="22" customFormat="false" ht="33.75" hidden="false" customHeight="true" outlineLevel="0" collapsed="false">
      <c r="A22" s="22" t="s">
        <v>481</v>
      </c>
      <c r="B22" s="23" t="s">
        <v>482</v>
      </c>
      <c r="C22" s="19" t="s">
        <v>83</v>
      </c>
      <c r="D22" s="25" t="n">
        <v>46325</v>
      </c>
      <c r="E22" s="23" t="s">
        <v>483</v>
      </c>
    </row>
    <row r="23" customFormat="false" ht="33.75" hidden="false" customHeight="true" outlineLevel="0" collapsed="false">
      <c r="A23" s="22" t="s">
        <v>484</v>
      </c>
      <c r="B23" s="22" t="s">
        <v>485</v>
      </c>
      <c r="C23" s="19" t="s">
        <v>62</v>
      </c>
      <c r="D23" s="25" t="n">
        <v>46357</v>
      </c>
      <c r="E23" s="22" t="s">
        <v>486</v>
      </c>
    </row>
    <row r="24" customFormat="false" ht="33.75" hidden="false" customHeight="true" outlineLevel="0" collapsed="false">
      <c r="A24" s="22" t="s">
        <v>487</v>
      </c>
      <c r="B24" s="23" t="s">
        <v>488</v>
      </c>
      <c r="C24" s="19" t="s">
        <v>134</v>
      </c>
      <c r="D24" s="25" t="n">
        <v>46332</v>
      </c>
      <c r="E24" s="22" t="s">
        <v>489</v>
      </c>
    </row>
    <row r="25" customFormat="false" ht="33.75" hidden="false" customHeight="true" outlineLevel="0" collapsed="false">
      <c r="A25" s="22" t="s">
        <v>490</v>
      </c>
      <c r="B25" s="23" t="s">
        <v>491</v>
      </c>
      <c r="C25" s="19" t="s">
        <v>83</v>
      </c>
      <c r="D25" s="25" t="n">
        <v>46332</v>
      </c>
      <c r="E25" s="23" t="s">
        <v>492</v>
      </c>
    </row>
    <row r="26" customFormat="false" ht="33.75" hidden="false" customHeight="true" outlineLevel="0" collapsed="false">
      <c r="A26" s="22" t="s">
        <v>493</v>
      </c>
      <c r="B26" s="22" t="s">
        <v>494</v>
      </c>
      <c r="C26" s="19" t="s">
        <v>159</v>
      </c>
      <c r="D26" s="25" t="n">
        <v>46324</v>
      </c>
      <c r="E26" s="23" t="s">
        <v>495</v>
      </c>
    </row>
    <row r="28" customFormat="false" ht="15.75" hidden="false" customHeight="true" outlineLevel="0" collapsed="false">
      <c r="A28" s="26" t="s">
        <v>496</v>
      </c>
    </row>
    <row r="29" customFormat="false" ht="15" hidden="false" customHeight="false" outlineLevel="0" collapsed="false">
      <c r="A29" s="15" t="s">
        <v>497</v>
      </c>
      <c r="B29" s="15" t="s">
        <v>26</v>
      </c>
      <c r="C29" s="15" t="s">
        <v>498</v>
      </c>
    </row>
    <row r="30" customFormat="false" ht="33.75" hidden="false" customHeight="true" outlineLevel="0" collapsed="false">
      <c r="A30" s="19" t="s">
        <v>31</v>
      </c>
      <c r="B30" s="19" t="s">
        <v>10</v>
      </c>
      <c r="C30" s="19" t="s">
        <v>34</v>
      </c>
    </row>
    <row r="31" customFormat="false" ht="33.75" hidden="false" customHeight="true" outlineLevel="0" collapsed="false">
      <c r="A31" s="19" t="s">
        <v>499</v>
      </c>
      <c r="B31" s="19" t="s">
        <v>10</v>
      </c>
      <c r="C31" s="19" t="s">
        <v>500</v>
      </c>
    </row>
    <row r="32" customFormat="false" ht="33.75" hidden="false" customHeight="true" outlineLevel="0" collapsed="false">
      <c r="A32" s="19" t="s">
        <v>501</v>
      </c>
      <c r="B32" s="19" t="s">
        <v>10</v>
      </c>
      <c r="C32" s="19" t="s">
        <v>502</v>
      </c>
    </row>
    <row r="33" customFormat="false" ht="33.75" hidden="false" customHeight="true" outlineLevel="0" collapsed="false">
      <c r="A33" s="19" t="s">
        <v>503</v>
      </c>
      <c r="B33" s="19" t="s">
        <v>10</v>
      </c>
      <c r="C33" s="19" t="s">
        <v>504</v>
      </c>
    </row>
    <row r="34" customFormat="false" ht="33.75" hidden="false" customHeight="true" outlineLevel="0" collapsed="false">
      <c r="A34" s="19" t="s">
        <v>505</v>
      </c>
      <c r="B34" s="19" t="s">
        <v>10</v>
      </c>
      <c r="C34" s="19" t="s">
        <v>506</v>
      </c>
    </row>
    <row r="35" customFormat="false" ht="33.75" hidden="false" customHeight="true" outlineLevel="0" collapsed="false">
      <c r="A35" s="19" t="s">
        <v>507</v>
      </c>
      <c r="B35" s="19" t="s">
        <v>10</v>
      </c>
      <c r="C35" s="19" t="s">
        <v>508</v>
      </c>
    </row>
    <row r="36" customFormat="false" ht="33.75" hidden="false" customHeight="true" outlineLevel="0" collapsed="false">
      <c r="A36" s="19" t="s">
        <v>509</v>
      </c>
      <c r="B36" s="19" t="s">
        <v>10</v>
      </c>
      <c r="C36" s="19" t="s">
        <v>504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14843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10"/>
  </cols>
  <sheetData>
    <row r="1" customFormat="false" ht="20.25" hidden="false" customHeight="true" outlineLevel="0" collapsed="false">
      <c r="A1" s="24" t="s">
        <v>510</v>
      </c>
    </row>
    <row r="3" customFormat="false" ht="36" hidden="false" customHeight="true" outlineLevel="0" collapsed="false">
      <c r="A3" s="28" t="s">
        <v>511</v>
      </c>
      <c r="B3" s="19" t="s">
        <v>512</v>
      </c>
    </row>
    <row r="4" customFormat="false" ht="36" hidden="false" customHeight="true" outlineLevel="0" collapsed="false">
      <c r="A4" s="28" t="s">
        <v>2</v>
      </c>
      <c r="B4" s="19" t="s">
        <v>513</v>
      </c>
    </row>
    <row r="5" customFormat="false" ht="36" hidden="false" customHeight="true" outlineLevel="0" collapsed="false">
      <c r="A5" s="28" t="s">
        <v>25</v>
      </c>
      <c r="B5" s="19" t="s">
        <v>514</v>
      </c>
    </row>
    <row r="6" customFormat="false" ht="36" hidden="false" customHeight="true" outlineLevel="0" collapsed="false">
      <c r="A6" s="28" t="s">
        <v>26</v>
      </c>
      <c r="B6" s="19" t="s">
        <v>515</v>
      </c>
    </row>
    <row r="7" customFormat="false" ht="36" hidden="false" customHeight="true" outlineLevel="0" collapsed="false">
      <c r="A7" s="28" t="s">
        <v>17</v>
      </c>
      <c r="B7" s="19" t="s">
        <v>516</v>
      </c>
    </row>
    <row r="8" customFormat="false" ht="36" hidden="false" customHeight="true" outlineLevel="0" collapsed="false">
      <c r="A8" s="28" t="s">
        <v>27</v>
      </c>
      <c r="B8" s="19" t="s">
        <v>517</v>
      </c>
    </row>
    <row r="9" customFormat="false" ht="36" hidden="false" customHeight="true" outlineLevel="0" collapsed="false">
      <c r="A9" s="28" t="s">
        <v>518</v>
      </c>
      <c r="B9" s="22" t="s">
        <v>519</v>
      </c>
    </row>
    <row r="10" customFormat="false" ht="36" hidden="false" customHeight="true" outlineLevel="0" collapsed="false">
      <c r="A10" s="28" t="s">
        <v>520</v>
      </c>
      <c r="B10" s="19" t="s">
        <v>521</v>
      </c>
    </row>
    <row r="11" customFormat="false" ht="36" hidden="false" customHeight="true" outlineLevel="0" collapsed="false">
      <c r="A11" s="28" t="s">
        <v>522</v>
      </c>
      <c r="B11" s="19" t="s">
        <v>523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2026-10-26T07:53:01Z</dcterms:created>
  <dc:creator>openpyxl</dc:creator>
  <dc:description/>
  <dc:language>en-US</dc:language>
  <cp:lastModifiedBy/>
  <dcterms:modified xsi:type="dcterms:W3CDTF">2026-10-27T06:29:29Z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